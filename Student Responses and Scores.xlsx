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9200" windowHeight="8180" tabRatio="500" activeTab="1"/>
  </bookViews>
  <sheets>
    <sheet name="Scoring" sheetId="2" r:id="rId1"/>
    <sheet name="Responses" sheetId="1" r:id="rId2"/>
  </sheets>
  <definedNames>
    <definedName name="_xlnm._FilterDatabase" localSheetId="1" hidden="1">Responses!$A$3:$AK$36</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C37" i="2" l="1"/>
  <c r="C38" i="2" s="1"/>
  <c r="D37" i="2"/>
  <c r="D38" i="2" s="1"/>
  <c r="E37" i="2"/>
  <c r="E38" i="2" s="1"/>
  <c r="F37" i="2"/>
  <c r="F38" i="2" s="1"/>
  <c r="G37" i="2"/>
  <c r="G38" i="2" s="1"/>
  <c r="H37" i="2"/>
  <c r="H38" i="2" s="1"/>
  <c r="I37" i="2"/>
  <c r="I38" i="2" s="1"/>
  <c r="J37" i="2"/>
  <c r="J38" i="2" s="1"/>
  <c r="K37" i="2"/>
  <c r="K38" i="2" s="1"/>
  <c r="L37" i="2"/>
  <c r="L38" i="2" s="1"/>
  <c r="M37" i="2"/>
  <c r="M38" i="2" s="1"/>
  <c r="N37" i="2"/>
  <c r="N38" i="2" s="1"/>
  <c r="O37" i="2"/>
  <c r="O38" i="2" s="1"/>
  <c r="P37" i="2"/>
  <c r="P38" i="2" s="1"/>
  <c r="Q37" i="2"/>
  <c r="Q38" i="2" s="1"/>
  <c r="R37" i="2"/>
  <c r="R38" i="2" s="1"/>
  <c r="S37" i="2"/>
  <c r="S38" i="2" s="1"/>
  <c r="T37" i="2"/>
  <c r="T38" i="2" s="1"/>
  <c r="U37" i="2"/>
  <c r="U38" i="2" s="1"/>
  <c r="V37" i="2"/>
  <c r="V38" i="2" s="1"/>
  <c r="W37" i="2"/>
  <c r="W38" i="2" s="1"/>
  <c r="X37" i="2"/>
  <c r="X38" i="2" s="1"/>
  <c r="Y37" i="2"/>
  <c r="Y38" i="2" s="1"/>
  <c r="Z37" i="2"/>
  <c r="Z38" i="2" s="1"/>
  <c r="AA37" i="2"/>
  <c r="AA38" i="2" s="1"/>
  <c r="AB37" i="2"/>
  <c r="AB38" i="2" s="1"/>
  <c r="AC37" i="2"/>
  <c r="AC38" i="2" s="1"/>
  <c r="AE37" i="2"/>
  <c r="AE38" i="2" s="1"/>
  <c r="AF37" i="2"/>
  <c r="AF38" i="2" s="1"/>
  <c r="AD37" i="2"/>
  <c r="AD38" i="2" s="1"/>
  <c r="AG37" i="2"/>
  <c r="AG38" i="2" s="1"/>
  <c r="B37" i="2"/>
  <c r="B38" i="2" s="1"/>
  <c r="J36" i="1" l="1"/>
  <c r="J35" i="1"/>
  <c r="J34" i="1"/>
  <c r="J33" i="1"/>
  <c r="J31" i="1"/>
  <c r="J30" i="1"/>
  <c r="J29" i="1"/>
  <c r="J28" i="1"/>
  <c r="J27" i="1"/>
  <c r="J26" i="1"/>
  <c r="J25" i="1"/>
  <c r="J24" i="1"/>
  <c r="J23" i="1"/>
  <c r="J22" i="1"/>
  <c r="J21" i="1"/>
  <c r="J20" i="1"/>
  <c r="J18" i="1"/>
  <c r="J17" i="1"/>
  <c r="J14" i="1"/>
  <c r="J13" i="1"/>
  <c r="J12" i="1"/>
  <c r="J11" i="1"/>
  <c r="J10" i="1"/>
  <c r="J9" i="1"/>
  <c r="J7" i="1"/>
  <c r="J6" i="1"/>
  <c r="J5" i="1"/>
  <c r="J4" i="1"/>
</calcChain>
</file>

<file path=xl/sharedStrings.xml><?xml version="1.0" encoding="utf-8"?>
<sst xmlns="http://schemas.openxmlformats.org/spreadsheetml/2006/main" count="1153" uniqueCount="296">
  <si>
    <t>Student</t>
  </si>
  <si>
    <t>Random Sampling</t>
  </si>
  <si>
    <t>Histograms</t>
  </si>
  <si>
    <t>Sample Statistic</t>
  </si>
  <si>
    <t>Sampling Distribution</t>
  </si>
  <si>
    <t>Central Limit Theorem</t>
  </si>
  <si>
    <t>Estimator Properties</t>
  </si>
  <si>
    <t>taking data points</t>
  </si>
  <si>
    <t>not necessarily identical, number of data points can vary</t>
  </si>
  <si>
    <t>NA</t>
  </si>
  <si>
    <t>a</t>
  </si>
  <si>
    <t>the distribution</t>
  </si>
  <si>
    <t>true. Justitifcation is compare A and C</t>
  </si>
  <si>
    <t>b</t>
  </si>
  <si>
    <t>T</t>
  </si>
  <si>
    <t>d</t>
  </si>
  <si>
    <t>nil, nil</t>
  </si>
  <si>
    <t>not sure</t>
  </si>
  <si>
    <t>c</t>
  </si>
  <si>
    <t>nil</t>
  </si>
  <si>
    <t>e</t>
  </si>
  <si>
    <t>NS</t>
  </si>
  <si>
    <t>means predicting behaviour of sample</t>
  </si>
  <si>
    <t>not identical as they are random</t>
  </si>
  <si>
    <t>their spread (variance)</t>
  </si>
  <si>
    <t>first one as it is uniformly distributed on both sides</t>
  </si>
  <si>
    <t>F</t>
  </si>
  <si>
    <t>histogram B is compared with normal distribution</t>
  </si>
  <si>
    <t>extracting random values that follow the normal distribution</t>
  </si>
  <si>
    <t>not identical as the values are completely different</t>
  </si>
  <si>
    <t>standard deviation</t>
  </si>
  <si>
    <t>single sample distributed,</t>
  </si>
  <si>
    <t>first have good estimate of theta</t>
  </si>
  <si>
    <t>set of data points adhering to specific normal distribution</t>
  </si>
  <si>
    <t>not identical as they are taken at random</t>
  </si>
  <si>
    <t>number of bins</t>
  </si>
  <si>
    <t>plot a tells the frequency of that data points while B tells about porbbaility of datapoints that occur</t>
  </si>
  <si>
    <t>taking points from the distribution and plotting density of sample</t>
  </si>
  <si>
    <t>with larger sample size variation in sample will be less and less</t>
  </si>
  <si>
    <t>numbe of sampes used differs</t>
  </si>
  <si>
    <t>distribution of sample gives distribution of individual sample data, sampling distribution is the distribution derived out of a set of sammples</t>
  </si>
  <si>
    <t>first histogram is a better estimator as it follows normal distribution</t>
  </si>
  <si>
    <t>no</t>
  </si>
  <si>
    <t>histogram B fits the data properly</t>
  </si>
  <si>
    <t>any point out of 50 points is considered for evaluating</t>
  </si>
  <si>
    <t>not indentical, every point in the distribution is different though following the same distribution</t>
  </si>
  <si>
    <t>bin width</t>
  </si>
  <si>
    <t>false. It doesnot make it cleaner but easier to get idea about the data variations</t>
  </si>
  <si>
    <t>distribution of sample refers to density of  obtained sample, sampling distribution is the probability distribution you are picking the samples from</t>
  </si>
  <si>
    <t>uniform distribution</t>
  </si>
  <si>
    <t>mean_vals</t>
  </si>
  <si>
    <t>one plots a pdf while the other is just a sample plot</t>
  </si>
  <si>
    <t>drawing a random sample means plotting graph of function of distribution which the sample is going to follow</t>
  </si>
  <si>
    <t>not identical, the curve will change but it will be similar</t>
  </si>
  <si>
    <t>increasing the number of samples taken or sample size decides the closeness of the data with the normal distribution. Thus sample size should be large which will make the distribution of samples attain normal distribution accoriding to CLT</t>
  </si>
  <si>
    <t>B</t>
  </si>
  <si>
    <t>distribution of sample is plotting of sample and making the necessary joinings or alignments by plotting samples taken., sampling distribution is the distribution to which the sample matches or distribution followed by sample</t>
  </si>
  <si>
    <t>histogram 1 is good estimator of theta as there is balance between biasing and variability of the distribution</t>
  </si>
  <si>
    <t>there is biasing more in the histograms which thus doesnot lead to normal distribution</t>
  </si>
  <si>
    <t>B converges to normal distribution that is follows normal distribution</t>
  </si>
  <si>
    <t>selection is independent of factors; cannot be predicted; random x is chsen and output y on the pdf of normal curve is recorded</t>
  </si>
  <si>
    <t>probability of sample being same is very low as randomness implies unpredictability</t>
  </si>
  <si>
    <t>the number of bins (and width) are different for their histograms</t>
  </si>
  <si>
    <t>not sure. Not that good with R</t>
  </si>
  <si>
    <t>the first histogram of mean_vals is a good estimator of parameter theta as it follows noral distribution and provides us with mean, average sample mean and deviation</t>
  </si>
  <si>
    <t>histogram a tells us the number of points in that interval whereas histogra B tells us probability of point in that interval</t>
  </si>
  <si>
    <t>each individual is mean 3, variance 2; they are independent of each other</t>
  </si>
  <si>
    <t>the data averaged overa particular range varies (range decreases - number of bins decreases)</t>
  </si>
  <si>
    <t>hist of exponential pmf distribution</t>
  </si>
  <si>
    <t>sample pointswould be somewhere around 3 and most of these 50 samples would be in the range of mean +- sd</t>
  </si>
  <si>
    <t>not identical but centred around 3 but points will be different from other</t>
  </si>
  <si>
    <t>the histograms have different number of points in a particular interval belong to different densities</t>
  </si>
  <si>
    <t>distribution of a sample indicates a distribution curve to which given points belong., sampling distribution depicts a sample of points belonging to a particular distribution</t>
  </si>
  <si>
    <t>draws a histogram and curve according to the given exponential distribution</t>
  </si>
  <si>
    <t>first histogram is a good estimator as it has uniformly distribted data and histogram with finite mean and variance</t>
  </si>
  <si>
    <t>it doesnot matter if X_n and X_1 sampling distributions follow normal distribution not for clt.</t>
  </si>
  <si>
    <t>histogram a shows the number of points lying on the curve N(10,3) curve in each interval whereas B shows their density</t>
  </si>
  <si>
    <t>mean 3, sum of values=150</t>
  </si>
  <si>
    <t>identical as otherwise the distribution will get affected</t>
  </si>
  <si>
    <t>bin size varies in histograms</t>
  </si>
  <si>
    <t>suppose we have a bag of grains and we measured iand plotted values for a mass of each grain. This would be distribution of a sample. If a handful of grains were taken from this bag that can be sampling distribution., A common misconception arises when students confuse the concept of a sampling distribution with the act of taking a single sample from a population.</t>
  </si>
  <si>
    <t>mean_vals can be a good estimator as bias is less. Min/max are biased towards min/max values</t>
  </si>
  <si>
    <t>not sure. Maybe because maximin are biased estimators</t>
  </si>
  <si>
    <t>histogram B gives the density of proabbilities and A gives distribution of sample</t>
  </si>
  <si>
    <t>a group of data or 50 sample points in which mean = 3 and var=2</t>
  </si>
  <si>
    <t>identical as it follows the same distribution</t>
  </si>
  <si>
    <t>each one is different terms of width so different levels of variability</t>
  </si>
  <si>
    <t>distribution considers one sample, sampling distribution considers multipe random samples</t>
  </si>
  <si>
    <t>no, it I not necessary to follow normal distribution</t>
  </si>
  <si>
    <t>histogram a is about frequency while B is about density which is continuous case</t>
  </si>
  <si>
    <t>shows the points which satisfy or follow the distribution are taken</t>
  </si>
  <si>
    <t>not identical as infinte points satisy a particular distribution</t>
  </si>
  <si>
    <t>A histogram has many variables and it has density unevenly distributed, B histogram is evenly distributed, C histogram has wide spread on x value</t>
  </si>
  <si>
    <t>distribution of sample means from a data samples are distributed, sampling distribution is a distribution of a particular sample</t>
  </si>
  <si>
    <t>there are 30 samples,</t>
  </si>
  <si>
    <t>random sample is taking random ordered pairs of (x, N(3,2)@x) as in x with corresponding value of normal distribution at that x value</t>
  </si>
  <si>
    <t>not identical as there are infintely many such ordered pairs</t>
  </si>
  <si>
    <t>No answer</t>
  </si>
  <si>
    <t>here the key difference is in the intervals taken for X</t>
  </si>
  <si>
    <t>distribution of sample is how the different numbers in the sample are distributed that is where have you found the values to be., sampling distribution is the model we are using to know how it should have been.</t>
  </si>
  <si>
    <t>the given code is using x=rexp(n=30,rate=2) to generate 30 samples from a distribution of exponential (rate=2). Next we calculate mean of these samples and for 1000 such samples we plot the probability vs mean values</t>
  </si>
  <si>
    <t>A is frequency versus X and B is probability density vs X</t>
  </si>
  <si>
    <t>take any n variables and we like and make graph accordingly</t>
  </si>
  <si>
    <t>identical to some extent if the mean and variance of two samples remain same</t>
  </si>
  <si>
    <t>the range or the number of bins in the histogram is getting lesser</t>
  </si>
  <si>
    <t>we have a normal distribution with many samples which acts as a population. It is expected for this smaller population aka sample space to also hae mean=3 and variance =2</t>
  </si>
  <si>
    <t>not identical as it is from same population but at random</t>
  </si>
  <si>
    <t>the key difference is intervals are varied. First gives more detail about the sample, second gives little less detail then first but more than 3rd.</t>
  </si>
  <si>
    <t>A</t>
  </si>
  <si>
    <t>distribution of sample: density/frequency of data, sampling distribution- no idea</t>
  </si>
  <si>
    <t>yes</t>
  </si>
  <si>
    <t>probability=true</t>
  </si>
  <si>
    <t>we are collecting 50 points randomly that lie on the cuve (x,N(3,2)</t>
  </si>
  <si>
    <t>not identical as there are infinte points on the curve and we are drawing randomly</t>
  </si>
  <si>
    <t>there is a difference in sample size and scale no y-axis for each histogram is different</t>
  </si>
  <si>
    <t>yet to lean r-code</t>
  </si>
  <si>
    <t>scale on y-axis and curve is not generated for A</t>
  </si>
  <si>
    <t>means the selectin is unbiased</t>
  </si>
  <si>
    <t>maynot be identical as drawing sample is unbiased</t>
  </si>
  <si>
    <t>bell curve</t>
  </si>
  <si>
    <t>it will generate 30 random points, 1000 times. Then it will find the mean.</t>
  </si>
  <si>
    <t>theta hat</t>
  </si>
  <si>
    <t>use of curve</t>
  </si>
  <si>
    <t>bin width of all three histograms</t>
  </si>
  <si>
    <t>picking arbritrary value from all samples present</t>
  </si>
  <si>
    <t>not identical as there are various samples present; probability of same sample is less</t>
  </si>
  <si>
    <t>number of steps or number of data which we use to plot the histogram</t>
  </si>
  <si>
    <t>nil, sampling distribution means the quantity which consists some value and distribution of sample, their number of sample and we draw the graph</t>
  </si>
  <si>
    <t>this code represents rndom data for normal distribution</t>
  </si>
  <si>
    <t>First histogram will be good estimator because by 1st they give a normal distribution. other 2 increases or decreases</t>
  </si>
  <si>
    <t>no idea</t>
  </si>
  <si>
    <t>the line passing throught the point</t>
  </si>
  <si>
    <t>has drawn some data(x and y axis and a shape as a function probably represneting a sample) and said output will be any random 50 points with this data</t>
  </si>
  <si>
    <t>three different graphs as previous all differernt, saying the samples wont be as previous</t>
  </si>
  <si>
    <t>the number of bins</t>
  </si>
  <si>
    <t>taking out  group of identical objects from a large collection of objects without bias or favour</t>
  </si>
  <si>
    <t>not identical; odds that both samples are identical is purely based on probability</t>
  </si>
  <si>
    <t>the width of each bar is the main key difference</t>
  </si>
  <si>
    <t>distribution of sample means just plotting the sample, sampling distribution plots the density f the samples on a histogram</t>
  </si>
  <si>
    <t>here we create a histogram for exponential distirbution(n=30, rate=2) and plotting them. It also is predicting the lambda value using average of all 1/mean(x)</t>
  </si>
  <si>
    <t>max_vals because theta &gt; max(x1,x2,…xn) by parameter estimator</t>
  </si>
  <si>
    <t>no, because here the parameter estimator follows a different fuunction</t>
  </si>
  <si>
    <t>the dnorm(n, mean=1-, sd=3) did not execute as it needed a boolean acceptance</t>
  </si>
  <si>
    <t>tells us abouttype of graph which can be plotted or how much data we have</t>
  </si>
  <si>
    <t>not identical as we will get different datasets and values</t>
  </si>
  <si>
    <t>different bin sizes/width, number of samples used</t>
  </si>
  <si>
    <t>distribution of sample is distribution followed by each element of the sample that is each pair of (x,y), sampling distribution is the distribution folowed by the sample sets and hence is not dependent on each pair of (x,y) where y=N(3,2)</t>
  </si>
  <si>
    <t>the drawn normal curve</t>
  </si>
  <si>
    <t>selecting random values from population is sampling</t>
  </si>
  <si>
    <t>not identical, random</t>
  </si>
  <si>
    <t>the sample size progressively decreases as we go from left to right</t>
  </si>
  <si>
    <t>distribution of sample pertains only to sample that has been drawn from the collection, sampling distribution pertains to entire population as a while</t>
  </si>
  <si>
    <t>a histogram of poisson distribution of sample size n=30 and 1000 points</t>
  </si>
  <si>
    <t>mean_vals is a good estimator. The histogrm of man_vals is closer to a normal distribution and is hence a beter stimator.</t>
  </si>
  <si>
    <t>no. Clt is only valid for large sample size and here the sample size may be probably small.</t>
  </si>
  <si>
    <t>both represent different quantities having different values</t>
  </si>
  <si>
    <t>taking random points that fall under a random variable X and take the shape of a normal distribution approximately</t>
  </si>
  <si>
    <t>not identical; different from person to person</t>
  </si>
  <si>
    <t>bin width, more number of bins</t>
  </si>
  <si>
    <t>distribution of sample is observed/real life variation of considered data, sampling distribution is called as population distribution that is expected trend of values of said data</t>
  </si>
  <si>
    <t>histogram of exponential distributions random data with 30 sample size between 1 to 1000 replication to find values of x (not sure about this answer)</t>
  </si>
  <si>
    <t>mean_vals is a good estimator of theta as its variance on both positive and negative ends is approximately equal, can be corrected</t>
  </si>
  <si>
    <t>NO</t>
  </si>
  <si>
    <t>y-axis that A: plot of requency vs X; B: plot of density vs X</t>
  </si>
  <si>
    <t>from a set of points obeying normal distribution we collect subset of 50 rndomly</t>
  </si>
  <si>
    <t>as source of samples is same, attributes will be similar but data might not necessarily be identical</t>
  </si>
  <si>
    <t>the major difference in the scale on y-axis and number of bars per dataset scale on x-axis</t>
  </si>
  <si>
    <t>distribution of sample we classify each data set as per requirement, sampling distribution is when we have a set data distribution and we sample each dataset out.</t>
  </si>
  <si>
    <t>ni</t>
  </si>
  <si>
    <t>number of bins, bin width</t>
  </si>
  <si>
    <t>distribution of sample means sample is distributed randomly, sampling distribution means sample distributed in given format</t>
  </si>
  <si>
    <t>the code will make or create an histogram with x-axis being the mean and y-axis being 1000 with the probability of historam forming as true.</t>
  </si>
  <si>
    <t>histogram of mean_vals is a good estimator since mwan values will always give  a good estimation.</t>
  </si>
  <si>
    <t>yes, it does violate the central limit theorem</t>
  </si>
  <si>
    <t>the curve is visible in B but not in A</t>
  </si>
  <si>
    <t>estimate how close they are to mean</t>
  </si>
  <si>
    <t>DATA distribution or number of bins</t>
  </si>
  <si>
    <t>limits in y-axis</t>
  </si>
  <si>
    <t>slecting points falling on or under the graph of normal distribution plotted against x</t>
  </si>
  <si>
    <t>some lements may be identical but not all</t>
  </si>
  <si>
    <t>NOT SURE</t>
  </si>
  <si>
    <t>Not Sure</t>
  </si>
  <si>
    <t>not identical as values are completely random</t>
  </si>
  <si>
    <t>distance of the data</t>
  </si>
  <si>
    <t>no idea,</t>
  </si>
  <si>
    <t>plotting a graph of the random sample</t>
  </si>
  <si>
    <t>random sample may change</t>
  </si>
  <si>
    <t>lesser number of points</t>
  </si>
  <si>
    <t>a curve is als drawn in B historam that represnts normal distribution</t>
  </si>
  <si>
    <t>random sample drawing means sampling, populatin mean converges to sample mean for large sample size</t>
  </si>
  <si>
    <t>sample will follow same distribution</t>
  </si>
  <si>
    <t>the main difference is the number of subintervals considered for plotting (or no of points taken)</t>
  </si>
  <si>
    <t>the first one because it almost fits the normal distribution</t>
  </si>
  <si>
    <t>distribution of sample is finding its density using a random sample data, sampling distribution refers to pre-known distribution (lke poisson, normal, gamma etc)</t>
  </si>
  <si>
    <t>this code will simulate a histogram of 30 samples dtermining their mean 1/ x_bar is the estimator of the mean.</t>
  </si>
  <si>
    <t>first one, because it is symmetric about mean</t>
  </si>
  <si>
    <t>the histogram A just takes mean =10 and doesnot fit the normal distribution perfectly, on the other hand, histogrm B fits</t>
  </si>
  <si>
    <t>choosing random data from given</t>
  </si>
  <si>
    <t>not identical</t>
  </si>
  <si>
    <t>size of sample taken in each histogram that Is bin size</t>
  </si>
  <si>
    <t>A, fits the curve more</t>
  </si>
  <si>
    <t>distribution of a sample is distribution of "a" sample space, sampling distribution is the cumulative distribution of various sample spaces</t>
  </si>
  <si>
    <t>mean of all the exponential function will be shown in a histogram and it willhave a density variation as proabbility =true</t>
  </si>
  <si>
    <t>it has something to do with maximising a logarithmic function and max_vals is a good estimator</t>
  </si>
  <si>
    <t>one has frequency while other has density</t>
  </si>
  <si>
    <t>Sampling distribution</t>
  </si>
  <si>
    <t>Topic</t>
  </si>
  <si>
    <t>4i</t>
  </si>
  <si>
    <t>4ii</t>
  </si>
  <si>
    <t>4iii</t>
  </si>
  <si>
    <t>4iv</t>
  </si>
  <si>
    <t>5i</t>
  </si>
  <si>
    <t>5ii</t>
  </si>
  <si>
    <t>5iii</t>
  </si>
  <si>
    <t>Total correct responses</t>
  </si>
  <si>
    <t>1i-1v</t>
  </si>
  <si>
    <t>2i</t>
  </si>
  <si>
    <t>2ii</t>
  </si>
  <si>
    <t>yes, as the sample size increases, we could see M2 approaching 1.</t>
  </si>
  <si>
    <t>nt sure</t>
  </si>
  <si>
    <t>yes, M2 is consistent as we observe the avlue near to 1 always</t>
  </si>
  <si>
    <t>no, its variance is too high even if it is unbiased</t>
  </si>
  <si>
    <t>yes, average value =1</t>
  </si>
  <si>
    <t>yes. As we can see on increasing sample size the figure tends to have a normal distribution</t>
  </si>
  <si>
    <t>yes as n goes to infinty, thepopulation tends to follow normal distribution</t>
  </si>
  <si>
    <t>yes, their large number of bins they probably give normal distribution</t>
  </si>
  <si>
    <t>M at n=5 is probabily unbiasedq</t>
  </si>
  <si>
    <t>no because it varies with size of population. As size increases it becomes more closer</t>
  </si>
  <si>
    <t xml:space="preserve">not sure </t>
  </si>
  <si>
    <t>yes, an n increases, M2 converges to a definitie value of variance</t>
  </si>
  <si>
    <t xml:space="preserve">yes. Same reason as above. </t>
  </si>
  <si>
    <t>yes, as the sample size is increasing, M2 is approximately 1.</t>
  </si>
  <si>
    <t>as seen in D, the variance keeps on decreasing on increasing sample size so yes.</t>
  </si>
  <si>
    <t>yes as it converges to the population variance</t>
  </si>
  <si>
    <t>yes, because bias=0</t>
  </si>
  <si>
    <t>don’t know but looking at A, it feels like M2 is biased but B and C tell us it is not.</t>
  </si>
  <si>
    <t>when it is directly equal to variance without error term</t>
  </si>
  <si>
    <t>sampe mean should be different than population mean</t>
  </si>
  <si>
    <t>the sample mean is approximately equal to the population  mean</t>
  </si>
  <si>
    <t>it means that the mean for a taken population is same for any given sample</t>
  </si>
  <si>
    <t>unbiased estimator means that the average of all estimates is equal to sample mean.</t>
  </si>
  <si>
    <t>the bias is zeroi.e. sample mean=populatin mean.</t>
  </si>
  <si>
    <t>for it to be unbiased, sample mean should tend to assumed mean, that is estimator</t>
  </si>
  <si>
    <t>it means that the sample represnts the population fairly and ther is absence of any bias</t>
  </si>
  <si>
    <t>this means sample mean = population mean</t>
  </si>
  <si>
    <t>when it is same for sample mean</t>
  </si>
  <si>
    <t>unbiased estimator gives an idea of the means variability around</t>
  </si>
  <si>
    <t>not follow normal distribution</t>
  </si>
  <si>
    <t>mean of all sample mean will tend to population mean</t>
  </si>
  <si>
    <t>this means that the sample mean is not dependent on an unknown parameter and is a function of sample size</t>
  </si>
  <si>
    <t>estimated mean=actual sample mean for an unbiased estimator</t>
  </si>
  <si>
    <t>vallue of means(both) converges i.e. variance may be observed but no bias correction is needed</t>
  </si>
  <si>
    <t>sample mean is apprximately equal to the estimator of populatino mean</t>
  </si>
  <si>
    <t>mean and variance are same</t>
  </si>
  <si>
    <t>unbiaed estimator means there is no bias so on increasing sample size it will eventually converge to populatino mean.</t>
  </si>
  <si>
    <t>it means that bias=0(estimated value-true value)</t>
  </si>
  <si>
    <t>sample mean=population mean</t>
  </si>
  <si>
    <t>detaiilng is not sufficient, so mean cannot be found</t>
  </si>
  <si>
    <t>accuracy</t>
  </si>
  <si>
    <t>we couldnot be able to analyse the data, rater estimate the pdf</t>
  </si>
  <si>
    <t>we get less idea of the distribution of data</t>
  </si>
  <si>
    <t>resolution of data gets lst, fits become inaccurate</t>
  </si>
  <si>
    <t>the distribution will vary a lot and the researcher would not be able to judge the distribution of data. This will create complexitiies. Thus more numbe of samples needs to be taken that is more bins should be used.</t>
  </si>
  <si>
    <t>we get to see the average value of data and deviation increases</t>
  </si>
  <si>
    <t>less inference</t>
  </si>
  <si>
    <t>it does not completely analyse the data by going in depth and showing density of each point</t>
  </si>
  <si>
    <t>the representation is of low resolution this makes it harder for tracing back outliers or using this data for calculations</t>
  </si>
  <si>
    <t>will have less variability levels</t>
  </si>
  <si>
    <t>is not clear represntation of data. The histogram seems incomplete with less information</t>
  </si>
  <si>
    <t>whe using less bins you get lesser accurate results</t>
  </si>
  <si>
    <t>we are unable to analyse clearly as we have very less amount of data</t>
  </si>
  <si>
    <t>no proper understanding about the dataand less accurate average</t>
  </si>
  <si>
    <t>accuracy of result will decreases and it complicates to find result</t>
  </si>
  <si>
    <t>high chances of variability/error</t>
  </si>
  <si>
    <t>you will not be able to accurately measure the samples</t>
  </si>
  <si>
    <t>accuracy will be minimum</t>
  </si>
  <si>
    <t>accuracy of considering all points and giving them justice decreases</t>
  </si>
  <si>
    <t>the estimate of parameters becomes inaccurate and provides insufficient/inadequate information</t>
  </si>
  <si>
    <t>values at several points between an interval are missed (are not accuratley represented)</t>
  </si>
  <si>
    <t>there is a major loss of data as we can see the average out of with a high of 15 is lowered to a high of 8</t>
  </si>
  <si>
    <t>when we use very few bins it is difficult to analys the data and calculate all parameters since there is lot of data in single bin</t>
  </si>
  <si>
    <t>data cannit be analysed properly and correctly</t>
  </si>
  <si>
    <t>we do not get detailed information</t>
  </si>
  <si>
    <t>cannot say much about the data</t>
  </si>
  <si>
    <t>very few bins result in less height attained as it is widened for covering the whole interval (-5 to 20)</t>
  </si>
  <si>
    <t>fitting of histogram to the curve is less giving a less accurate value of mean</t>
  </si>
  <si>
    <t>5i(1)</t>
  </si>
  <si>
    <t>5i(2)</t>
  </si>
  <si>
    <t>B is represents probability (pmf) , A gives frequency of X=x</t>
  </si>
  <si>
    <t>Marked in the students' response sheets itself and total score entered in the scoring sheet</t>
  </si>
  <si>
    <t>Percentage of correct responses</t>
  </si>
  <si>
    <t>Participant Sr. No.</t>
  </si>
  <si>
    <t>Subtopic and Question Number  --- &gt;</t>
  </si>
  <si>
    <t>unbiased estimator means that there is no bias so on increasing sample size it eventually converges to population mean</t>
  </si>
  <si>
    <t>-</t>
  </si>
  <si>
    <t>you wont get a perfect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</si>
</sst>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1"/>
    </font>
    <font>
      <b/>
      <sz val="11"/>
      <name val="Cambria"/>
      <family val="1"/>
    </font>
    <font>
      <sz val="12"/>
      <color theme="1"/>
      <name val="Times New Roman"/>
      <family val="1"/>
      <charset val="1"/>
    </font>
    <font>
      <sz val="12"/>
      <color theme="1"/>
      <name val="Times New Roman"/>
      <family val="1"/>
    </font>
    <font>
      <b/>
      <sz val="11"/>
      <color theme="1"/>
      <name val="Calibri"/>
      <family val="2"/>
    </font>
    <font>
      <sz val="10"/>
      <color theme="1"/>
      <name val="Arial"/>
      <family val="2"/>
    </font>
    <font>
      <sz val="10"/>
      <color theme="1"/>
      <name val="Arial"/>
      <family val="2"/>
      <charset val="1"/>
    </font>
  </fonts>
  <fills count="10">
    <fill>
      <patternFill patternType="none"/>
    </fill>
    <fill>
      <patternFill patternType="gray125"/>
    </fill>
    <fill>
      <patternFill patternType="solid">
        <fgColor rgb="FFFFFFFF"/>
        <bgColor rgb="FFFFF2CC"/>
      </patternFill>
    </fill>
    <fill>
      <patternFill patternType="solid">
        <fgColor theme="0"/>
        <bgColor indexed="64"/>
      </patternFill>
    </fill>
    <fill>
      <patternFill patternType="solid">
        <fgColor theme="0"/>
        <bgColor rgb="FFFFF2CC"/>
      </patternFill>
    </fill>
    <fill>
      <patternFill patternType="solid">
        <fgColor theme="0"/>
        <bgColor rgb="FFCFE2F3"/>
      </patternFill>
    </fill>
    <fill>
      <patternFill patternType="solid">
        <fgColor theme="0"/>
        <bgColor rgb="FFD9EAD3"/>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1" fillId="0" borderId="0" xfId="0" applyFont="1" applyAlignment="1">
      <alignment horizont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0" fillId="3" borderId="0" xfId="0" applyFill="1" applyAlignment="1">
      <alignment horizontal="center" vertical="center"/>
    </xf>
    <xf numFmtId="0" fontId="4" fillId="3" borderId="1" xfId="0" applyFont="1" applyFill="1" applyBorder="1" applyAlignment="1">
      <alignment horizontal="center" vertical="center"/>
    </xf>
    <xf numFmtId="0" fontId="4" fillId="0" borderId="0" xfId="0" applyFont="1" applyAlignment="1"/>
    <xf numFmtId="16" fontId="1" fillId="3" borderId="1" xfId="0" quotePrefix="1" applyNumberFormat="1" applyFont="1" applyFill="1" applyBorder="1" applyAlignment="1">
      <alignment horizontal="center" vertical="center" wrapText="1"/>
    </xf>
    <xf numFmtId="0" fontId="1" fillId="3" borderId="0" xfId="0" applyFont="1" applyFill="1" applyAlignment="1">
      <alignment horizontal="center" wrapText="1"/>
    </xf>
    <xf numFmtId="0" fontId="0" fillId="3" borderId="0" xfId="0" applyFill="1"/>
    <xf numFmtId="0" fontId="0" fillId="3" borderId="0" xfId="0" applyFill="1" applyAlignment="1"/>
    <xf numFmtId="0" fontId="2" fillId="4" borderId="1" xfId="0" applyFont="1" applyFill="1" applyBorder="1" applyAlignment="1">
      <alignment horizontal="center" vertical="center"/>
    </xf>
    <xf numFmtId="0" fontId="0" fillId="3" borderId="1" xfId="0" applyFill="1" applyBorder="1" applyAlignment="1">
      <alignment horizontal="center"/>
    </xf>
    <xf numFmtId="0" fontId="3"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Alignment="1"/>
    <xf numFmtId="0" fontId="1" fillId="5" borderId="1" xfId="0" applyFont="1" applyFill="1" applyBorder="1" applyAlignment="1">
      <alignment horizontal="center" wrapText="1"/>
    </xf>
    <xf numFmtId="0" fontId="1" fillId="6" borderId="1" xfId="0" applyFont="1" applyFill="1" applyBorder="1" applyAlignment="1">
      <alignment horizontal="center" wrapText="1"/>
    </xf>
    <xf numFmtId="0" fontId="1" fillId="7" borderId="1" xfId="0" applyFont="1" applyFill="1" applyBorder="1" applyAlignment="1">
      <alignment horizontal="center" vertical="center" wrapText="1"/>
    </xf>
    <xf numFmtId="0" fontId="1" fillId="7" borderId="0" xfId="0" applyFont="1" applyFill="1" applyAlignment="1">
      <alignment horizontal="center" wrapText="1"/>
    </xf>
    <xf numFmtId="0" fontId="1" fillId="3" borderId="5" xfId="0" applyFont="1" applyFill="1" applyBorder="1" applyAlignment="1">
      <alignment horizontal="center" vertical="center" wrapText="1"/>
    </xf>
    <xf numFmtId="0" fontId="0" fillId="3" borderId="5" xfId="0" applyFill="1" applyBorder="1" applyAlignment="1">
      <alignment horizontal="center"/>
    </xf>
    <xf numFmtId="0" fontId="0" fillId="3" borderId="6" xfId="0" applyFill="1" applyBorder="1" applyAlignment="1">
      <alignment horizontal="center"/>
    </xf>
    <xf numFmtId="0" fontId="1" fillId="3" borderId="1" xfId="0" applyFont="1" applyFill="1" applyBorder="1" applyAlignment="1">
      <alignment horizontal="center" wrapText="1"/>
    </xf>
    <xf numFmtId="0" fontId="0" fillId="0" borderId="1" xfId="0" applyBorder="1" applyAlignment="1">
      <alignment horizontal="center"/>
    </xf>
    <xf numFmtId="0" fontId="1" fillId="0" borderId="0" xfId="0" applyFont="1" applyFill="1" applyAlignment="1">
      <alignment horizontal="center" wrapText="1"/>
    </xf>
    <xf numFmtId="0" fontId="1" fillId="0" borderId="6" xfId="0" applyFont="1" applyFill="1" applyBorder="1" applyAlignment="1">
      <alignment horizontal="center" vertical="center" wrapText="1"/>
    </xf>
    <xf numFmtId="0" fontId="4" fillId="7" borderId="0" xfId="0" applyFont="1" applyFill="1" applyAlignment="1"/>
    <xf numFmtId="0" fontId="4" fillId="7" borderId="1" xfId="0" applyFont="1" applyFill="1" applyBorder="1" applyAlignment="1">
      <alignment horizontal="center" vertical="center"/>
    </xf>
    <xf numFmtId="16" fontId="1" fillId="7" borderId="1" xfId="0" quotePrefix="1"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1" fillId="0" borderId="1" xfId="0" applyFont="1" applyFill="1" applyBorder="1" applyAlignment="1">
      <alignment horizontal="center" vertic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2" xfId="0" applyFill="1" applyBorder="1" applyAlignment="1">
      <alignment horizontal="center" wrapText="1"/>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8"/>
  <sheetViews>
    <sheetView zoomScale="85" zoomScaleNormal="85" workbookViewId="0">
      <pane xSplit="1" topLeftCell="X1" activePane="topRight" state="frozen"/>
      <selection pane="topRight" activeCell="AB31" sqref="AB31"/>
    </sheetView>
  </sheetViews>
  <sheetFormatPr defaultColWidth="8.6328125" defaultRowHeight="14.5" x14ac:dyDescent="0.35"/>
  <cols>
    <col min="1" max="1" width="26.81640625" style="4" bestFit="1" customWidth="1"/>
    <col min="2" max="3" width="18" style="4" bestFit="1" customWidth="1"/>
    <col min="4" max="13" width="11.81640625" style="4" bestFit="1" customWidth="1"/>
    <col min="14" max="16" width="15.90625" style="4" bestFit="1" customWidth="1"/>
    <col min="17" max="21" width="21.7265625" style="4" bestFit="1" customWidth="1"/>
    <col min="22" max="23" width="21.453125" style="4" bestFit="1" customWidth="1"/>
    <col min="24" max="29" width="22.453125" style="4" bestFit="1" customWidth="1"/>
    <col min="30" max="37" width="20.90625" style="4" bestFit="1" customWidth="1"/>
    <col min="38" max="16384" width="8.6328125" style="4"/>
  </cols>
  <sheetData>
    <row r="1" spans="1:37" customFormat="1" ht="15" customHeight="1" x14ac:dyDescent="0.35">
      <c r="A1" s="31" t="s">
        <v>292</v>
      </c>
      <c r="B1" s="23" t="s">
        <v>1</v>
      </c>
      <c r="C1" s="23" t="s">
        <v>1</v>
      </c>
      <c r="D1" s="23" t="s">
        <v>2</v>
      </c>
      <c r="E1" s="23" t="s">
        <v>2</v>
      </c>
      <c r="F1" s="23" t="s">
        <v>2</v>
      </c>
      <c r="G1" s="23" t="s">
        <v>2</v>
      </c>
      <c r="H1" s="23" t="s">
        <v>2</v>
      </c>
      <c r="I1" s="23" t="s">
        <v>2</v>
      </c>
      <c r="J1" s="23" t="s">
        <v>2</v>
      </c>
      <c r="K1" s="23" t="s">
        <v>2</v>
      </c>
      <c r="L1" s="23" t="s">
        <v>2</v>
      </c>
      <c r="M1" s="23" t="s">
        <v>2</v>
      </c>
      <c r="N1" s="23" t="s">
        <v>3</v>
      </c>
      <c r="O1" s="23" t="s">
        <v>3</v>
      </c>
      <c r="P1" s="23" t="s">
        <v>3</v>
      </c>
      <c r="Q1" s="23" t="s">
        <v>4</v>
      </c>
      <c r="R1" s="23" t="s">
        <v>4</v>
      </c>
      <c r="S1" s="23" t="s">
        <v>4</v>
      </c>
      <c r="T1" s="23" t="s">
        <v>4</v>
      </c>
      <c r="U1" s="23" t="s">
        <v>4</v>
      </c>
      <c r="V1" s="23" t="s">
        <v>205</v>
      </c>
      <c r="W1" s="23" t="s">
        <v>205</v>
      </c>
      <c r="X1" s="23" t="s">
        <v>5</v>
      </c>
      <c r="Y1" s="23" t="s">
        <v>5</v>
      </c>
      <c r="Z1" s="23" t="s">
        <v>5</v>
      </c>
      <c r="AA1" s="23" t="s">
        <v>5</v>
      </c>
      <c r="AB1" s="23" t="s">
        <v>5</v>
      </c>
      <c r="AC1" s="23" t="s">
        <v>5</v>
      </c>
      <c r="AD1" s="23" t="s">
        <v>6</v>
      </c>
      <c r="AE1" s="23" t="s">
        <v>6</v>
      </c>
      <c r="AF1" s="23" t="s">
        <v>6</v>
      </c>
      <c r="AG1" s="23" t="s">
        <v>6</v>
      </c>
      <c r="AH1" s="1"/>
      <c r="AI1" s="1"/>
      <c r="AJ1" s="1"/>
      <c r="AK1" s="1"/>
    </row>
    <row r="2" spans="1:37" s="7" customFormat="1" ht="15" customHeight="1" x14ac:dyDescent="0.35">
      <c r="A2" s="34" t="s">
        <v>291</v>
      </c>
      <c r="B2" s="22">
        <v>1</v>
      </c>
      <c r="C2" s="22">
        <v>2</v>
      </c>
      <c r="D2" s="22">
        <v>1</v>
      </c>
      <c r="E2" s="22">
        <v>2</v>
      </c>
      <c r="F2" s="22">
        <v>3</v>
      </c>
      <c r="G2" s="22" t="s">
        <v>207</v>
      </c>
      <c r="H2" s="22" t="s">
        <v>208</v>
      </c>
      <c r="I2" s="22" t="s">
        <v>209</v>
      </c>
      <c r="J2" s="22" t="s">
        <v>210</v>
      </c>
      <c r="K2" s="22" t="s">
        <v>211</v>
      </c>
      <c r="L2" s="32" t="s">
        <v>212</v>
      </c>
      <c r="M2" s="22" t="s">
        <v>213</v>
      </c>
      <c r="N2" s="33" t="s">
        <v>215</v>
      </c>
      <c r="O2" s="22">
        <v>2</v>
      </c>
      <c r="P2" s="22">
        <v>3</v>
      </c>
      <c r="Q2" s="22">
        <v>1</v>
      </c>
      <c r="R2" s="22">
        <v>2</v>
      </c>
      <c r="S2" s="22">
        <v>3</v>
      </c>
      <c r="T2" s="22" t="s">
        <v>207</v>
      </c>
      <c r="U2" s="22" t="s">
        <v>208</v>
      </c>
      <c r="V2" s="22">
        <v>5</v>
      </c>
      <c r="W2" s="22">
        <v>6</v>
      </c>
      <c r="X2" s="22">
        <v>1</v>
      </c>
      <c r="Y2" s="22">
        <v>2</v>
      </c>
      <c r="Z2" s="22">
        <v>3</v>
      </c>
      <c r="AA2" s="22">
        <v>4</v>
      </c>
      <c r="AB2" s="22">
        <v>5</v>
      </c>
      <c r="AC2" s="22">
        <v>6</v>
      </c>
      <c r="AD2" s="22">
        <v>1</v>
      </c>
      <c r="AE2" s="22" t="s">
        <v>216</v>
      </c>
      <c r="AF2" s="22" t="s">
        <v>217</v>
      </c>
      <c r="AG2" s="22">
        <v>3</v>
      </c>
    </row>
    <row r="3" spans="1:37" ht="15" customHeight="1" x14ac:dyDescent="0.35">
      <c r="A3" s="35">
        <v>1</v>
      </c>
      <c r="B3" s="2">
        <v>0</v>
      </c>
      <c r="C3" s="2">
        <v>1</v>
      </c>
      <c r="D3" s="2">
        <v>0</v>
      </c>
      <c r="E3" s="2">
        <v>1</v>
      </c>
      <c r="F3" s="5">
        <v>0</v>
      </c>
      <c r="G3" s="2">
        <v>0</v>
      </c>
      <c r="H3" s="2">
        <v>1</v>
      </c>
      <c r="I3" s="2">
        <v>1</v>
      </c>
      <c r="J3" s="2">
        <v>0</v>
      </c>
      <c r="K3" s="2">
        <v>0</v>
      </c>
      <c r="L3" s="5">
        <v>0</v>
      </c>
      <c r="M3" s="5">
        <v>1</v>
      </c>
      <c r="N3" s="2">
        <v>4</v>
      </c>
      <c r="O3" s="2">
        <v>1</v>
      </c>
      <c r="P3" s="5">
        <v>0</v>
      </c>
      <c r="Q3" s="2">
        <v>0</v>
      </c>
      <c r="R3" s="5">
        <v>0</v>
      </c>
      <c r="S3" s="5">
        <v>0</v>
      </c>
      <c r="T3" s="5">
        <v>1</v>
      </c>
      <c r="U3" s="5">
        <v>0</v>
      </c>
      <c r="V3" s="5">
        <v>1</v>
      </c>
      <c r="W3" s="5">
        <v>0</v>
      </c>
      <c r="X3" s="5">
        <v>0</v>
      </c>
      <c r="Y3" s="5">
        <v>1</v>
      </c>
      <c r="Z3" s="5">
        <v>0</v>
      </c>
      <c r="AA3" s="5">
        <v>1</v>
      </c>
      <c r="AB3" s="5">
        <v>0</v>
      </c>
      <c r="AC3" s="5">
        <v>0</v>
      </c>
      <c r="AD3" s="2">
        <v>0</v>
      </c>
      <c r="AE3" s="3">
        <v>0</v>
      </c>
      <c r="AF3" s="3">
        <v>0</v>
      </c>
      <c r="AG3" s="5">
        <v>0</v>
      </c>
    </row>
    <row r="4" spans="1:37" ht="15" customHeight="1" x14ac:dyDescent="0.35">
      <c r="A4" s="35">
        <v>2</v>
      </c>
      <c r="B4" s="2">
        <v>0</v>
      </c>
      <c r="C4" s="2">
        <v>1</v>
      </c>
      <c r="D4" s="2">
        <v>0</v>
      </c>
      <c r="E4" s="2">
        <v>0</v>
      </c>
      <c r="F4" s="5">
        <v>1</v>
      </c>
      <c r="G4" s="2">
        <v>0</v>
      </c>
      <c r="H4" s="2">
        <v>1</v>
      </c>
      <c r="I4" s="2">
        <v>1</v>
      </c>
      <c r="J4" s="2">
        <v>1</v>
      </c>
      <c r="K4" s="2">
        <v>0</v>
      </c>
      <c r="L4" s="5">
        <v>0</v>
      </c>
      <c r="M4" s="5">
        <v>1</v>
      </c>
      <c r="N4" s="2">
        <v>1</v>
      </c>
      <c r="O4" s="2">
        <v>0</v>
      </c>
      <c r="P4" s="5">
        <v>0</v>
      </c>
      <c r="Q4" s="2">
        <v>0</v>
      </c>
      <c r="R4" s="5">
        <v>0</v>
      </c>
      <c r="S4" s="5">
        <v>1</v>
      </c>
      <c r="T4" s="5">
        <v>0</v>
      </c>
      <c r="U4" s="5">
        <v>1</v>
      </c>
      <c r="V4" s="5">
        <v>0</v>
      </c>
      <c r="W4" s="5">
        <v>0</v>
      </c>
      <c r="X4" s="5">
        <v>0</v>
      </c>
      <c r="Y4" s="5">
        <v>1</v>
      </c>
      <c r="Z4" s="5">
        <v>0</v>
      </c>
      <c r="AA4" s="5">
        <v>1</v>
      </c>
      <c r="AB4" s="5">
        <v>1</v>
      </c>
      <c r="AC4" s="5">
        <v>0</v>
      </c>
      <c r="AD4" s="2">
        <v>0</v>
      </c>
      <c r="AE4" s="3">
        <v>0</v>
      </c>
      <c r="AF4" s="3">
        <v>0</v>
      </c>
      <c r="AG4" s="5">
        <v>1</v>
      </c>
    </row>
    <row r="5" spans="1:37" ht="15" customHeight="1" x14ac:dyDescent="0.35">
      <c r="A5" s="35">
        <v>3</v>
      </c>
      <c r="B5" s="2">
        <v>1</v>
      </c>
      <c r="C5" s="2">
        <v>1</v>
      </c>
      <c r="D5" s="2">
        <v>1</v>
      </c>
      <c r="E5" s="2">
        <v>1</v>
      </c>
      <c r="F5" s="5">
        <v>0</v>
      </c>
      <c r="G5" s="2">
        <v>0</v>
      </c>
      <c r="H5" s="2">
        <v>1</v>
      </c>
      <c r="I5" s="2">
        <v>0</v>
      </c>
      <c r="J5" s="2">
        <v>0</v>
      </c>
      <c r="K5" s="2">
        <v>0</v>
      </c>
      <c r="L5" s="5">
        <v>0</v>
      </c>
      <c r="M5" s="5">
        <v>0</v>
      </c>
      <c r="N5" s="2">
        <v>3</v>
      </c>
      <c r="O5" s="2">
        <v>1</v>
      </c>
      <c r="P5" s="5">
        <v>0</v>
      </c>
      <c r="Q5" s="2">
        <v>0</v>
      </c>
      <c r="R5" s="5">
        <v>0</v>
      </c>
      <c r="S5" s="5">
        <v>0</v>
      </c>
      <c r="T5" s="5">
        <v>1</v>
      </c>
      <c r="U5" s="5">
        <v>1</v>
      </c>
      <c r="V5" s="5">
        <v>0</v>
      </c>
      <c r="W5" s="5">
        <v>0</v>
      </c>
      <c r="X5" s="5">
        <v>1</v>
      </c>
      <c r="Y5" s="5">
        <v>1</v>
      </c>
      <c r="Z5" s="5">
        <v>0</v>
      </c>
      <c r="AA5" s="5">
        <v>0</v>
      </c>
      <c r="AB5" s="5">
        <v>0</v>
      </c>
      <c r="AC5" s="5">
        <v>0</v>
      </c>
      <c r="AD5" s="2">
        <v>0</v>
      </c>
      <c r="AE5" s="3">
        <v>0</v>
      </c>
      <c r="AF5" s="3">
        <v>0</v>
      </c>
      <c r="AG5" s="5">
        <v>0</v>
      </c>
    </row>
    <row r="6" spans="1:37" ht="15" customHeight="1" x14ac:dyDescent="0.35">
      <c r="A6" s="35">
        <v>4</v>
      </c>
      <c r="B6" s="2">
        <v>1</v>
      </c>
      <c r="C6" s="2">
        <v>1</v>
      </c>
      <c r="D6" s="2">
        <v>0</v>
      </c>
      <c r="E6" s="2">
        <v>1</v>
      </c>
      <c r="F6" s="5">
        <v>1</v>
      </c>
      <c r="G6" s="2">
        <v>1</v>
      </c>
      <c r="H6" s="2">
        <v>1</v>
      </c>
      <c r="I6" s="2">
        <v>1</v>
      </c>
      <c r="J6" s="2">
        <v>0</v>
      </c>
      <c r="K6" s="2">
        <v>1</v>
      </c>
      <c r="L6" s="5">
        <v>1</v>
      </c>
      <c r="M6" s="5">
        <v>1</v>
      </c>
      <c r="N6" s="2">
        <v>1</v>
      </c>
      <c r="O6" s="2">
        <v>0</v>
      </c>
      <c r="P6" s="5">
        <v>0</v>
      </c>
      <c r="Q6" s="2">
        <v>0</v>
      </c>
      <c r="R6" s="5">
        <v>0</v>
      </c>
      <c r="S6" s="5">
        <v>0</v>
      </c>
      <c r="T6" s="5">
        <v>0</v>
      </c>
      <c r="U6" s="5">
        <v>0</v>
      </c>
      <c r="V6" s="5">
        <v>0</v>
      </c>
      <c r="W6" s="5">
        <v>0</v>
      </c>
      <c r="X6" s="5">
        <v>0</v>
      </c>
      <c r="Y6" s="5">
        <v>1</v>
      </c>
      <c r="Z6" s="5">
        <v>1</v>
      </c>
      <c r="AA6" s="5">
        <v>1</v>
      </c>
      <c r="AB6" s="5">
        <v>1</v>
      </c>
      <c r="AC6" s="5">
        <v>0</v>
      </c>
      <c r="AD6" s="2">
        <v>1</v>
      </c>
      <c r="AE6" s="3">
        <v>1</v>
      </c>
      <c r="AF6" s="3">
        <v>0</v>
      </c>
      <c r="AG6" s="5">
        <v>0</v>
      </c>
    </row>
    <row r="7" spans="1:37" ht="15" customHeight="1" x14ac:dyDescent="0.35">
      <c r="A7" s="35">
        <v>5</v>
      </c>
      <c r="B7" s="2">
        <v>1</v>
      </c>
      <c r="C7" s="2">
        <v>0</v>
      </c>
      <c r="D7" s="2">
        <v>1</v>
      </c>
      <c r="E7" s="2">
        <v>1</v>
      </c>
      <c r="F7" s="5">
        <v>1</v>
      </c>
      <c r="G7" s="2">
        <v>0</v>
      </c>
      <c r="H7" s="2">
        <v>1</v>
      </c>
      <c r="I7" s="2">
        <v>1</v>
      </c>
      <c r="J7" s="2">
        <v>0</v>
      </c>
      <c r="K7" s="2">
        <v>1</v>
      </c>
      <c r="L7" s="5">
        <v>0</v>
      </c>
      <c r="M7" s="5">
        <v>1</v>
      </c>
      <c r="N7" s="2">
        <v>5</v>
      </c>
      <c r="O7" s="2">
        <v>1</v>
      </c>
      <c r="P7" s="5">
        <v>1</v>
      </c>
      <c r="Q7" s="2">
        <v>1</v>
      </c>
      <c r="R7" s="5">
        <v>0</v>
      </c>
      <c r="S7" s="5">
        <v>0</v>
      </c>
      <c r="T7" s="5">
        <v>1</v>
      </c>
      <c r="U7" s="5">
        <v>0</v>
      </c>
      <c r="V7" s="5">
        <v>0</v>
      </c>
      <c r="W7" s="5">
        <v>0</v>
      </c>
      <c r="X7" s="5">
        <v>1</v>
      </c>
      <c r="Y7" s="5">
        <v>0</v>
      </c>
      <c r="Z7" s="5">
        <v>0</v>
      </c>
      <c r="AA7" s="5">
        <v>0</v>
      </c>
      <c r="AB7" s="5">
        <v>1</v>
      </c>
      <c r="AC7" s="5">
        <v>0</v>
      </c>
      <c r="AD7" s="2">
        <v>0</v>
      </c>
      <c r="AE7" s="3">
        <v>1</v>
      </c>
      <c r="AF7" s="3">
        <v>0</v>
      </c>
      <c r="AG7" s="5">
        <v>0</v>
      </c>
    </row>
    <row r="8" spans="1:37" ht="15" customHeight="1" x14ac:dyDescent="0.35">
      <c r="A8" s="35">
        <v>6</v>
      </c>
      <c r="B8" s="2">
        <v>0</v>
      </c>
      <c r="C8" s="2">
        <v>1</v>
      </c>
      <c r="D8" s="2">
        <v>1</v>
      </c>
      <c r="E8" s="2">
        <v>1</v>
      </c>
      <c r="F8" s="5">
        <v>1</v>
      </c>
      <c r="G8" s="2">
        <v>1</v>
      </c>
      <c r="H8" s="2">
        <v>0</v>
      </c>
      <c r="I8" s="2">
        <v>1</v>
      </c>
      <c r="J8" s="2">
        <v>1</v>
      </c>
      <c r="K8" s="2">
        <v>1</v>
      </c>
      <c r="L8" s="5">
        <v>1</v>
      </c>
      <c r="M8" s="5">
        <v>1</v>
      </c>
      <c r="N8" s="2">
        <v>5</v>
      </c>
      <c r="O8" s="2">
        <v>1</v>
      </c>
      <c r="P8" s="5">
        <v>0</v>
      </c>
      <c r="Q8" s="2">
        <v>0</v>
      </c>
      <c r="R8" s="5">
        <v>0</v>
      </c>
      <c r="S8" s="5">
        <v>1</v>
      </c>
      <c r="T8" s="5">
        <v>1</v>
      </c>
      <c r="U8" s="5">
        <v>0</v>
      </c>
      <c r="V8" s="5">
        <v>0</v>
      </c>
      <c r="W8" s="5">
        <v>0</v>
      </c>
      <c r="X8" s="5">
        <v>0</v>
      </c>
      <c r="Y8" s="5">
        <v>1</v>
      </c>
      <c r="Z8" s="5">
        <v>1</v>
      </c>
      <c r="AA8" s="5">
        <v>0</v>
      </c>
      <c r="AB8" s="5">
        <v>0</v>
      </c>
      <c r="AC8" s="5">
        <v>0</v>
      </c>
      <c r="AD8" s="2">
        <v>1</v>
      </c>
      <c r="AE8" s="3">
        <v>0</v>
      </c>
      <c r="AF8" s="3">
        <v>1</v>
      </c>
      <c r="AG8" s="5">
        <v>0</v>
      </c>
    </row>
    <row r="9" spans="1:37" ht="15" customHeight="1" x14ac:dyDescent="0.35">
      <c r="A9" s="35">
        <v>7</v>
      </c>
      <c r="B9" s="2">
        <v>0</v>
      </c>
      <c r="C9" s="2">
        <v>1</v>
      </c>
      <c r="D9" s="2">
        <v>1</v>
      </c>
      <c r="E9" s="2">
        <v>1</v>
      </c>
      <c r="F9" s="5">
        <v>1</v>
      </c>
      <c r="G9" s="2">
        <v>0</v>
      </c>
      <c r="H9" s="2">
        <v>0</v>
      </c>
      <c r="I9" s="2">
        <v>0</v>
      </c>
      <c r="J9" s="2">
        <v>0</v>
      </c>
      <c r="K9" s="2">
        <v>0</v>
      </c>
      <c r="L9" s="5">
        <v>0</v>
      </c>
      <c r="M9" s="5">
        <v>0</v>
      </c>
      <c r="N9" s="2">
        <v>1</v>
      </c>
      <c r="O9" s="2">
        <v>0</v>
      </c>
      <c r="P9" s="5">
        <v>0</v>
      </c>
      <c r="Q9" s="2">
        <v>0</v>
      </c>
      <c r="R9" s="5">
        <v>0</v>
      </c>
      <c r="S9" s="5">
        <v>0</v>
      </c>
      <c r="T9" s="5">
        <v>1</v>
      </c>
      <c r="U9" s="5">
        <v>0</v>
      </c>
      <c r="V9" s="5">
        <v>0</v>
      </c>
      <c r="W9" s="5">
        <v>0</v>
      </c>
      <c r="X9" s="5">
        <v>0</v>
      </c>
      <c r="Y9" s="5">
        <v>0</v>
      </c>
      <c r="Z9" s="5">
        <v>0</v>
      </c>
      <c r="AA9" s="5">
        <v>1</v>
      </c>
      <c r="AB9" s="5">
        <v>0</v>
      </c>
      <c r="AC9" s="5">
        <v>0</v>
      </c>
      <c r="AD9" s="2">
        <v>0</v>
      </c>
      <c r="AE9" s="3">
        <v>0</v>
      </c>
      <c r="AF9" s="3">
        <v>0</v>
      </c>
      <c r="AG9" s="5">
        <v>0</v>
      </c>
    </row>
    <row r="10" spans="1:37" ht="15" customHeight="1" x14ac:dyDescent="0.35">
      <c r="A10" s="35">
        <v>8</v>
      </c>
      <c r="B10" s="2">
        <v>0</v>
      </c>
      <c r="C10" s="2">
        <v>1</v>
      </c>
      <c r="D10" s="2">
        <v>1</v>
      </c>
      <c r="E10" s="2">
        <v>1</v>
      </c>
      <c r="F10" s="5">
        <v>1</v>
      </c>
      <c r="G10" s="2">
        <v>1</v>
      </c>
      <c r="H10" s="2">
        <v>1</v>
      </c>
      <c r="I10" s="2">
        <v>0</v>
      </c>
      <c r="J10" s="2">
        <v>1</v>
      </c>
      <c r="K10" s="2">
        <v>1</v>
      </c>
      <c r="L10" s="5">
        <v>1</v>
      </c>
      <c r="M10" s="5">
        <v>1</v>
      </c>
      <c r="N10" s="2">
        <v>4</v>
      </c>
      <c r="O10" s="2">
        <v>1</v>
      </c>
      <c r="P10" s="5">
        <v>0</v>
      </c>
      <c r="Q10" s="2">
        <v>0</v>
      </c>
      <c r="R10" s="5">
        <v>0</v>
      </c>
      <c r="S10" s="5">
        <v>1</v>
      </c>
      <c r="T10" s="5">
        <v>1</v>
      </c>
      <c r="U10" s="5">
        <v>1</v>
      </c>
      <c r="V10" s="5">
        <v>0</v>
      </c>
      <c r="W10" s="5">
        <v>0</v>
      </c>
      <c r="X10" s="5">
        <v>1</v>
      </c>
      <c r="Y10" s="5">
        <v>1</v>
      </c>
      <c r="Z10" s="5">
        <v>0</v>
      </c>
      <c r="AA10" s="5">
        <v>0</v>
      </c>
      <c r="AB10" s="5">
        <v>1</v>
      </c>
      <c r="AC10" s="5">
        <v>0</v>
      </c>
      <c r="AD10" s="2">
        <v>1</v>
      </c>
      <c r="AE10" s="3">
        <v>0</v>
      </c>
      <c r="AF10" s="3">
        <v>0</v>
      </c>
      <c r="AG10" s="5">
        <v>1</v>
      </c>
    </row>
    <row r="11" spans="1:37" ht="15" customHeight="1" x14ac:dyDescent="0.35">
      <c r="A11" s="35">
        <v>9</v>
      </c>
      <c r="B11" s="2">
        <v>0</v>
      </c>
      <c r="C11" s="2">
        <v>0</v>
      </c>
      <c r="D11" s="2">
        <v>1</v>
      </c>
      <c r="E11" s="2">
        <v>0</v>
      </c>
      <c r="F11" s="5">
        <v>0</v>
      </c>
      <c r="G11" s="2">
        <v>1</v>
      </c>
      <c r="H11" s="2">
        <v>1</v>
      </c>
      <c r="I11" s="2">
        <v>0</v>
      </c>
      <c r="J11" s="2">
        <v>0</v>
      </c>
      <c r="K11" s="2">
        <v>1</v>
      </c>
      <c r="L11" s="5">
        <v>1</v>
      </c>
      <c r="M11" s="5">
        <v>1</v>
      </c>
      <c r="N11" s="2">
        <v>5</v>
      </c>
      <c r="O11" s="2">
        <v>1</v>
      </c>
      <c r="P11" s="5">
        <v>0</v>
      </c>
      <c r="Q11" s="2">
        <v>0</v>
      </c>
      <c r="R11" s="5">
        <v>0</v>
      </c>
      <c r="S11" s="5">
        <v>0</v>
      </c>
      <c r="T11" s="5">
        <v>1</v>
      </c>
      <c r="U11" s="5">
        <v>1</v>
      </c>
      <c r="V11" s="5">
        <v>0</v>
      </c>
      <c r="W11" s="5">
        <v>0</v>
      </c>
      <c r="X11" s="5">
        <v>0</v>
      </c>
      <c r="Y11" s="5">
        <v>0</v>
      </c>
      <c r="Z11" s="5">
        <v>1</v>
      </c>
      <c r="AA11" s="5">
        <v>1</v>
      </c>
      <c r="AB11" s="5">
        <v>1</v>
      </c>
      <c r="AC11" s="5">
        <v>0</v>
      </c>
      <c r="AD11" s="2">
        <v>0</v>
      </c>
      <c r="AE11" s="3">
        <v>0</v>
      </c>
      <c r="AF11" s="3">
        <v>0</v>
      </c>
      <c r="AG11" s="5">
        <v>0</v>
      </c>
    </row>
    <row r="12" spans="1:37" ht="15" customHeight="1" x14ac:dyDescent="0.35">
      <c r="A12" s="35">
        <v>10</v>
      </c>
      <c r="B12" s="2">
        <v>1</v>
      </c>
      <c r="C12" s="2">
        <v>1</v>
      </c>
      <c r="D12" s="2">
        <v>0</v>
      </c>
      <c r="E12" s="2">
        <v>0</v>
      </c>
      <c r="F12" s="5">
        <v>1</v>
      </c>
      <c r="G12" s="2">
        <v>1</v>
      </c>
      <c r="H12" s="2">
        <v>1</v>
      </c>
      <c r="I12" s="2">
        <v>0</v>
      </c>
      <c r="J12" s="2">
        <v>0</v>
      </c>
      <c r="K12" s="2">
        <v>1</v>
      </c>
      <c r="L12" s="5">
        <v>1</v>
      </c>
      <c r="M12" s="5">
        <v>1</v>
      </c>
      <c r="N12" s="2">
        <v>5</v>
      </c>
      <c r="O12" s="2">
        <v>1</v>
      </c>
      <c r="P12" s="5">
        <v>0</v>
      </c>
      <c r="Q12" s="2">
        <v>0</v>
      </c>
      <c r="R12" s="5">
        <v>0</v>
      </c>
      <c r="S12" s="5">
        <v>1</v>
      </c>
      <c r="T12" s="5">
        <v>0</v>
      </c>
      <c r="U12" s="5">
        <v>1</v>
      </c>
      <c r="V12" s="5">
        <v>0</v>
      </c>
      <c r="W12" s="5">
        <v>0</v>
      </c>
      <c r="X12" s="5">
        <v>0</v>
      </c>
      <c r="Y12" s="5">
        <v>1</v>
      </c>
      <c r="Z12" s="5">
        <v>0</v>
      </c>
      <c r="AA12" s="5">
        <v>1</v>
      </c>
      <c r="AB12" s="5">
        <v>0</v>
      </c>
      <c r="AC12" s="5">
        <v>1</v>
      </c>
      <c r="AD12" s="2">
        <v>1</v>
      </c>
      <c r="AE12" s="3">
        <v>0</v>
      </c>
      <c r="AF12" s="3">
        <v>0</v>
      </c>
      <c r="AG12" s="5">
        <v>0</v>
      </c>
    </row>
    <row r="13" spans="1:37" ht="15" customHeight="1" x14ac:dyDescent="0.35">
      <c r="A13" s="35">
        <v>11</v>
      </c>
      <c r="B13" s="2">
        <v>0</v>
      </c>
      <c r="C13" s="2">
        <v>0</v>
      </c>
      <c r="D13" s="2">
        <v>0</v>
      </c>
      <c r="E13" s="2">
        <v>1</v>
      </c>
      <c r="F13" s="5">
        <v>1</v>
      </c>
      <c r="G13" s="2">
        <v>1</v>
      </c>
      <c r="H13" s="2">
        <v>1</v>
      </c>
      <c r="I13" s="2">
        <v>1</v>
      </c>
      <c r="J13" s="2">
        <v>1</v>
      </c>
      <c r="K13" s="2">
        <v>1</v>
      </c>
      <c r="L13" s="5">
        <v>1</v>
      </c>
      <c r="M13" s="5">
        <v>1</v>
      </c>
      <c r="N13" s="2">
        <v>1</v>
      </c>
      <c r="O13" s="2">
        <v>1</v>
      </c>
      <c r="P13" s="5">
        <v>0</v>
      </c>
      <c r="Q13" s="2">
        <v>0</v>
      </c>
      <c r="R13" s="5">
        <v>0</v>
      </c>
      <c r="S13" s="5">
        <v>0</v>
      </c>
      <c r="T13" s="5">
        <v>0</v>
      </c>
      <c r="U13" s="5">
        <v>1</v>
      </c>
      <c r="V13" s="5">
        <v>1</v>
      </c>
      <c r="W13" s="5">
        <v>0</v>
      </c>
      <c r="X13" s="5">
        <v>0</v>
      </c>
      <c r="Y13" s="5">
        <v>0</v>
      </c>
      <c r="Z13" s="5">
        <v>0</v>
      </c>
      <c r="AA13" s="5">
        <v>1</v>
      </c>
      <c r="AB13" s="5">
        <v>1</v>
      </c>
      <c r="AC13" s="5">
        <v>0</v>
      </c>
      <c r="AD13" s="2">
        <v>0</v>
      </c>
      <c r="AE13" s="3">
        <v>0</v>
      </c>
      <c r="AF13" s="3">
        <v>0</v>
      </c>
      <c r="AG13" s="5">
        <v>0</v>
      </c>
    </row>
    <row r="14" spans="1:37" ht="15" customHeight="1" x14ac:dyDescent="0.35">
      <c r="A14" s="35">
        <v>12</v>
      </c>
      <c r="B14" s="2">
        <v>0</v>
      </c>
      <c r="C14" s="2">
        <v>0</v>
      </c>
      <c r="D14" s="2">
        <v>0</v>
      </c>
      <c r="E14" s="2">
        <v>1</v>
      </c>
      <c r="F14" s="5">
        <v>1</v>
      </c>
      <c r="G14" s="2">
        <v>1</v>
      </c>
      <c r="H14" s="2">
        <v>1</v>
      </c>
      <c r="I14" s="2">
        <v>0</v>
      </c>
      <c r="J14" s="2">
        <v>0</v>
      </c>
      <c r="K14" s="2">
        <v>0</v>
      </c>
      <c r="L14" s="5">
        <v>1</v>
      </c>
      <c r="M14" s="5">
        <v>0</v>
      </c>
      <c r="N14" s="2">
        <v>0</v>
      </c>
      <c r="O14" s="2">
        <v>1</v>
      </c>
      <c r="P14" s="5">
        <v>0</v>
      </c>
      <c r="Q14" s="2">
        <v>1</v>
      </c>
      <c r="R14" s="5">
        <v>0</v>
      </c>
      <c r="S14" s="5">
        <v>0</v>
      </c>
      <c r="T14" s="5">
        <v>0</v>
      </c>
      <c r="U14" s="5">
        <v>0</v>
      </c>
      <c r="V14" s="5">
        <v>0</v>
      </c>
      <c r="W14" s="5">
        <v>0</v>
      </c>
      <c r="X14" s="5">
        <v>1</v>
      </c>
      <c r="Y14" s="5">
        <v>0</v>
      </c>
      <c r="Z14" s="5">
        <v>0</v>
      </c>
      <c r="AA14" s="5">
        <v>1</v>
      </c>
      <c r="AB14" s="5">
        <v>1</v>
      </c>
      <c r="AC14" s="5">
        <v>1</v>
      </c>
      <c r="AD14" s="2">
        <v>1</v>
      </c>
      <c r="AE14" s="3">
        <v>0</v>
      </c>
      <c r="AF14" s="3">
        <v>0</v>
      </c>
      <c r="AG14" s="5">
        <v>0</v>
      </c>
    </row>
    <row r="15" spans="1:37" ht="15" customHeight="1" x14ac:dyDescent="0.35">
      <c r="A15" s="35">
        <v>13</v>
      </c>
      <c r="B15" s="2">
        <v>1</v>
      </c>
      <c r="C15" s="2">
        <v>1</v>
      </c>
      <c r="D15" s="2">
        <v>1</v>
      </c>
      <c r="E15" s="2">
        <v>0</v>
      </c>
      <c r="F15" s="5">
        <v>0</v>
      </c>
      <c r="G15" s="2">
        <v>0</v>
      </c>
      <c r="H15" s="2">
        <v>0</v>
      </c>
      <c r="I15" s="2">
        <v>1</v>
      </c>
      <c r="J15" s="2">
        <v>0</v>
      </c>
      <c r="K15" s="2">
        <v>1</v>
      </c>
      <c r="L15" s="5">
        <v>0</v>
      </c>
      <c r="M15" s="5">
        <v>0</v>
      </c>
      <c r="N15" s="2">
        <v>4</v>
      </c>
      <c r="O15" s="2">
        <v>1</v>
      </c>
      <c r="P15" s="5">
        <v>0</v>
      </c>
      <c r="Q15" s="2">
        <v>0</v>
      </c>
      <c r="R15" s="5">
        <v>0</v>
      </c>
      <c r="S15" s="5">
        <v>0</v>
      </c>
      <c r="T15" s="5">
        <v>1</v>
      </c>
      <c r="U15" s="5">
        <v>0</v>
      </c>
      <c r="V15" s="5">
        <v>0</v>
      </c>
      <c r="W15" s="5">
        <v>0</v>
      </c>
      <c r="X15" s="5">
        <v>0</v>
      </c>
      <c r="Y15" s="5">
        <v>0</v>
      </c>
      <c r="Z15" s="5">
        <v>1</v>
      </c>
      <c r="AA15" s="5">
        <v>0</v>
      </c>
      <c r="AB15" s="5">
        <v>1</v>
      </c>
      <c r="AC15" s="5">
        <v>0</v>
      </c>
      <c r="AD15" s="2">
        <v>0</v>
      </c>
      <c r="AE15" s="3">
        <v>0</v>
      </c>
      <c r="AF15" s="3">
        <v>0</v>
      </c>
      <c r="AG15" s="5">
        <v>0</v>
      </c>
    </row>
    <row r="16" spans="1:37" ht="15" customHeight="1" x14ac:dyDescent="0.35">
      <c r="A16" s="35">
        <v>14</v>
      </c>
      <c r="B16" s="2">
        <v>0</v>
      </c>
      <c r="C16" s="2">
        <v>1</v>
      </c>
      <c r="D16" s="2">
        <v>0</v>
      </c>
      <c r="E16" s="2">
        <v>0</v>
      </c>
      <c r="F16" s="5">
        <v>0</v>
      </c>
      <c r="G16" s="2">
        <v>0</v>
      </c>
      <c r="H16" s="2">
        <v>0</v>
      </c>
      <c r="I16" s="2">
        <v>0</v>
      </c>
      <c r="J16" s="2">
        <v>0</v>
      </c>
      <c r="K16" s="2">
        <v>0</v>
      </c>
      <c r="L16" s="5">
        <v>0</v>
      </c>
      <c r="M16" s="5">
        <v>0</v>
      </c>
      <c r="N16" s="2">
        <v>0</v>
      </c>
      <c r="O16" s="2">
        <v>1</v>
      </c>
      <c r="P16" s="5">
        <v>0</v>
      </c>
      <c r="Q16" s="2">
        <v>0</v>
      </c>
      <c r="R16" s="5">
        <v>0</v>
      </c>
      <c r="S16" s="5">
        <v>0</v>
      </c>
      <c r="T16" s="5">
        <v>1</v>
      </c>
      <c r="U16" s="5">
        <v>1</v>
      </c>
      <c r="V16" s="5">
        <v>0</v>
      </c>
      <c r="W16" s="5">
        <v>0</v>
      </c>
      <c r="X16" s="5">
        <v>1</v>
      </c>
      <c r="Y16" s="5">
        <v>1</v>
      </c>
      <c r="Z16" s="5">
        <v>1</v>
      </c>
      <c r="AA16" s="5">
        <v>1</v>
      </c>
      <c r="AB16" s="5">
        <v>1</v>
      </c>
      <c r="AC16" s="5">
        <v>0</v>
      </c>
      <c r="AD16" s="2">
        <v>0</v>
      </c>
      <c r="AE16" s="3">
        <v>0</v>
      </c>
      <c r="AF16" s="3">
        <v>0</v>
      </c>
      <c r="AG16" s="5">
        <v>0</v>
      </c>
    </row>
    <row r="17" spans="1:33" ht="15" customHeight="1" x14ac:dyDescent="0.35">
      <c r="A17" s="35">
        <v>15</v>
      </c>
      <c r="B17" s="2">
        <v>0</v>
      </c>
      <c r="C17" s="2">
        <v>0</v>
      </c>
      <c r="D17" s="2">
        <v>1</v>
      </c>
      <c r="E17" s="2">
        <v>1</v>
      </c>
      <c r="F17" s="5">
        <v>1</v>
      </c>
      <c r="G17" s="2">
        <v>1</v>
      </c>
      <c r="H17" s="2">
        <v>1</v>
      </c>
      <c r="I17" s="2">
        <v>1</v>
      </c>
      <c r="J17" s="2">
        <v>0</v>
      </c>
      <c r="K17" s="2">
        <v>1</v>
      </c>
      <c r="L17" s="5">
        <v>1</v>
      </c>
      <c r="M17" s="5">
        <v>1</v>
      </c>
      <c r="N17" s="2">
        <v>5</v>
      </c>
      <c r="O17" s="2">
        <v>1</v>
      </c>
      <c r="P17" s="5">
        <v>0</v>
      </c>
      <c r="Q17" s="2">
        <v>0</v>
      </c>
      <c r="R17" s="5">
        <v>1</v>
      </c>
      <c r="S17" s="5">
        <v>1</v>
      </c>
      <c r="T17" s="5">
        <v>1</v>
      </c>
      <c r="U17" s="5">
        <v>1</v>
      </c>
      <c r="V17" s="5">
        <v>0</v>
      </c>
      <c r="W17" s="5">
        <v>0</v>
      </c>
      <c r="X17" s="5">
        <v>0</v>
      </c>
      <c r="Y17" s="5">
        <v>1</v>
      </c>
      <c r="Z17" s="5">
        <v>1</v>
      </c>
      <c r="AA17" s="5">
        <v>1</v>
      </c>
      <c r="AB17" s="5">
        <v>0</v>
      </c>
      <c r="AC17" s="5">
        <v>0</v>
      </c>
      <c r="AD17" s="2">
        <v>0</v>
      </c>
      <c r="AE17" s="3">
        <v>0</v>
      </c>
      <c r="AF17" s="3">
        <v>0</v>
      </c>
      <c r="AG17" s="5">
        <v>0</v>
      </c>
    </row>
    <row r="18" spans="1:33" ht="15" customHeight="1" x14ac:dyDescent="0.35">
      <c r="A18" s="35">
        <v>16</v>
      </c>
      <c r="B18" s="2">
        <v>0</v>
      </c>
      <c r="C18" s="2">
        <v>0</v>
      </c>
      <c r="D18" s="2">
        <v>1</v>
      </c>
      <c r="E18" s="2">
        <v>0</v>
      </c>
      <c r="F18" s="5">
        <v>1</v>
      </c>
      <c r="G18" s="2">
        <v>1</v>
      </c>
      <c r="H18" s="2">
        <v>1</v>
      </c>
      <c r="I18" s="2">
        <v>1</v>
      </c>
      <c r="J18" s="2">
        <v>0</v>
      </c>
      <c r="K18" s="2">
        <v>0</v>
      </c>
      <c r="L18" s="5">
        <v>0</v>
      </c>
      <c r="M18" s="5">
        <v>1</v>
      </c>
      <c r="N18" s="2">
        <v>1</v>
      </c>
      <c r="O18" s="2">
        <v>0</v>
      </c>
      <c r="P18" s="5">
        <v>0</v>
      </c>
      <c r="Q18" s="2">
        <v>0</v>
      </c>
      <c r="R18" s="5">
        <v>0</v>
      </c>
      <c r="S18" s="5">
        <v>0</v>
      </c>
      <c r="T18" s="5">
        <v>0</v>
      </c>
      <c r="U18" s="5">
        <v>1</v>
      </c>
      <c r="V18" s="5">
        <v>0</v>
      </c>
      <c r="W18" s="5">
        <v>0</v>
      </c>
      <c r="X18" s="5">
        <v>0</v>
      </c>
      <c r="Y18" s="5">
        <v>1</v>
      </c>
      <c r="Z18" s="5">
        <v>1</v>
      </c>
      <c r="AA18" s="5">
        <v>1</v>
      </c>
      <c r="AB18" s="5">
        <v>1</v>
      </c>
      <c r="AC18" s="5">
        <v>0</v>
      </c>
      <c r="AD18" s="2">
        <v>0</v>
      </c>
      <c r="AE18" s="3">
        <v>0</v>
      </c>
      <c r="AF18" s="3">
        <v>0</v>
      </c>
      <c r="AG18" s="5">
        <v>1</v>
      </c>
    </row>
    <row r="19" spans="1:33" ht="15" customHeight="1" x14ac:dyDescent="0.35">
      <c r="A19" s="35">
        <v>17</v>
      </c>
      <c r="B19" s="2">
        <v>0</v>
      </c>
      <c r="C19" s="2">
        <v>1</v>
      </c>
      <c r="D19" s="2">
        <v>1</v>
      </c>
      <c r="E19" s="2">
        <v>1</v>
      </c>
      <c r="F19" s="5">
        <v>1</v>
      </c>
      <c r="G19" s="2">
        <v>1</v>
      </c>
      <c r="H19" s="2">
        <v>1</v>
      </c>
      <c r="I19" s="2">
        <v>1</v>
      </c>
      <c r="J19" s="2">
        <v>1</v>
      </c>
      <c r="K19" s="2">
        <v>1</v>
      </c>
      <c r="L19" s="5">
        <v>1</v>
      </c>
      <c r="M19" s="5">
        <v>1</v>
      </c>
      <c r="N19" s="2">
        <v>3</v>
      </c>
      <c r="O19" s="2">
        <v>1</v>
      </c>
      <c r="P19" s="5">
        <v>0</v>
      </c>
      <c r="Q19" s="2">
        <v>1</v>
      </c>
      <c r="R19" s="5">
        <v>0</v>
      </c>
      <c r="S19" s="5">
        <v>1</v>
      </c>
      <c r="T19" s="5">
        <v>0</v>
      </c>
      <c r="U19" s="5">
        <v>0</v>
      </c>
      <c r="V19" s="5">
        <v>0</v>
      </c>
      <c r="W19" s="5">
        <v>0</v>
      </c>
      <c r="X19" s="5">
        <v>1</v>
      </c>
      <c r="Y19" s="5">
        <v>1</v>
      </c>
      <c r="Z19" s="5">
        <v>0</v>
      </c>
      <c r="AA19" s="5">
        <v>1</v>
      </c>
      <c r="AB19" s="5">
        <v>0</v>
      </c>
      <c r="AC19" s="5">
        <v>0</v>
      </c>
      <c r="AD19" s="2">
        <v>0</v>
      </c>
      <c r="AE19" s="3">
        <v>0</v>
      </c>
      <c r="AF19" s="3">
        <v>0</v>
      </c>
      <c r="AG19" s="5">
        <v>0</v>
      </c>
    </row>
    <row r="20" spans="1:33" ht="15" customHeight="1" x14ac:dyDescent="0.35">
      <c r="A20" s="35">
        <v>18</v>
      </c>
      <c r="B20" s="2">
        <v>0</v>
      </c>
      <c r="C20" s="2">
        <v>1</v>
      </c>
      <c r="D20" s="2">
        <v>1</v>
      </c>
      <c r="E20" s="2">
        <v>0</v>
      </c>
      <c r="F20" s="5">
        <v>1</v>
      </c>
      <c r="G20" s="2">
        <v>0</v>
      </c>
      <c r="H20" s="2">
        <v>1</v>
      </c>
      <c r="I20" s="2">
        <v>1</v>
      </c>
      <c r="J20" s="2">
        <v>0</v>
      </c>
      <c r="K20" s="2">
        <v>0</v>
      </c>
      <c r="L20" s="5">
        <v>1</v>
      </c>
      <c r="M20" s="5">
        <v>1</v>
      </c>
      <c r="N20" s="2">
        <v>0</v>
      </c>
      <c r="O20" s="2">
        <v>0</v>
      </c>
      <c r="P20" s="5">
        <v>0</v>
      </c>
      <c r="Q20" s="2">
        <v>0</v>
      </c>
      <c r="R20" s="5">
        <v>0</v>
      </c>
      <c r="S20" s="5">
        <v>0</v>
      </c>
      <c r="T20" s="5">
        <v>0</v>
      </c>
      <c r="U20" s="5">
        <v>0</v>
      </c>
      <c r="V20" s="5">
        <v>0</v>
      </c>
      <c r="W20" s="5">
        <v>0</v>
      </c>
      <c r="X20" s="5">
        <v>0</v>
      </c>
      <c r="Y20" s="5">
        <v>0</v>
      </c>
      <c r="Z20" s="5">
        <v>0</v>
      </c>
      <c r="AA20" s="5">
        <v>0</v>
      </c>
      <c r="AB20" s="5">
        <v>0</v>
      </c>
      <c r="AC20" s="5">
        <v>0</v>
      </c>
      <c r="AD20" s="2">
        <v>0</v>
      </c>
      <c r="AE20" s="3">
        <v>0</v>
      </c>
      <c r="AF20" s="3">
        <v>0</v>
      </c>
      <c r="AG20" s="5">
        <v>0</v>
      </c>
    </row>
    <row r="21" spans="1:33" ht="15" customHeight="1" x14ac:dyDescent="0.35">
      <c r="A21" s="35">
        <v>19</v>
      </c>
      <c r="B21" s="2">
        <v>1</v>
      </c>
      <c r="C21" s="2">
        <v>1</v>
      </c>
      <c r="D21" s="2">
        <v>0</v>
      </c>
      <c r="E21" s="2">
        <v>1</v>
      </c>
      <c r="F21" s="5">
        <v>1</v>
      </c>
      <c r="G21" s="2">
        <v>0</v>
      </c>
      <c r="H21" s="2">
        <v>0</v>
      </c>
      <c r="I21" s="2">
        <v>0</v>
      </c>
      <c r="J21" s="2">
        <v>0</v>
      </c>
      <c r="K21" s="2">
        <v>1</v>
      </c>
      <c r="L21" s="5">
        <v>0</v>
      </c>
      <c r="M21" s="5">
        <v>1</v>
      </c>
      <c r="N21" s="2">
        <v>1</v>
      </c>
      <c r="O21" s="2">
        <v>0</v>
      </c>
      <c r="P21" s="5">
        <v>0</v>
      </c>
      <c r="Q21" s="2">
        <v>0</v>
      </c>
      <c r="R21" s="5">
        <v>1</v>
      </c>
      <c r="S21" s="5">
        <v>0</v>
      </c>
      <c r="T21" s="5">
        <v>1</v>
      </c>
      <c r="U21" s="5">
        <v>0</v>
      </c>
      <c r="V21" s="5">
        <v>0</v>
      </c>
      <c r="W21" s="5">
        <v>0</v>
      </c>
      <c r="X21" s="5">
        <v>0</v>
      </c>
      <c r="Y21" s="5">
        <v>1</v>
      </c>
      <c r="Z21" s="5">
        <v>0</v>
      </c>
      <c r="AA21" s="5">
        <v>0</v>
      </c>
      <c r="AB21" s="5">
        <v>0</v>
      </c>
      <c r="AC21" s="5">
        <v>0</v>
      </c>
      <c r="AD21" s="2">
        <v>0</v>
      </c>
      <c r="AE21" s="3">
        <v>1</v>
      </c>
      <c r="AF21" s="3">
        <v>0</v>
      </c>
      <c r="AG21" s="5">
        <v>0</v>
      </c>
    </row>
    <row r="22" spans="1:33" ht="15" customHeight="1" x14ac:dyDescent="0.35">
      <c r="A22" s="35">
        <v>20</v>
      </c>
      <c r="B22" s="2">
        <v>0</v>
      </c>
      <c r="C22" s="2">
        <v>0</v>
      </c>
      <c r="D22" s="2">
        <v>0</v>
      </c>
      <c r="E22" s="2">
        <v>0</v>
      </c>
      <c r="F22" s="5">
        <v>0</v>
      </c>
      <c r="G22" s="2">
        <v>1</v>
      </c>
      <c r="H22" s="2">
        <v>1</v>
      </c>
      <c r="I22" s="2">
        <v>0</v>
      </c>
      <c r="J22" s="2">
        <v>0</v>
      </c>
      <c r="K22" s="2">
        <v>0</v>
      </c>
      <c r="L22" s="5">
        <v>0</v>
      </c>
      <c r="M22" s="5">
        <v>1</v>
      </c>
      <c r="N22" s="2">
        <v>0</v>
      </c>
      <c r="O22" s="2">
        <v>1</v>
      </c>
      <c r="P22" s="5">
        <v>0</v>
      </c>
      <c r="Q22" s="2">
        <v>0</v>
      </c>
      <c r="R22" s="5">
        <v>0</v>
      </c>
      <c r="S22" s="5">
        <v>1</v>
      </c>
      <c r="T22" s="5">
        <v>1</v>
      </c>
      <c r="U22" s="5">
        <v>1</v>
      </c>
      <c r="V22" s="5">
        <v>0</v>
      </c>
      <c r="W22" s="5">
        <v>0</v>
      </c>
      <c r="X22" s="5">
        <v>0</v>
      </c>
      <c r="Y22" s="5">
        <v>0</v>
      </c>
      <c r="Z22" s="5">
        <v>0</v>
      </c>
      <c r="AA22" s="5">
        <v>0</v>
      </c>
      <c r="AB22" s="5">
        <v>1</v>
      </c>
      <c r="AC22" s="5">
        <v>0</v>
      </c>
      <c r="AD22" s="2">
        <v>0</v>
      </c>
      <c r="AE22" s="3">
        <v>0</v>
      </c>
      <c r="AF22" s="3">
        <v>0</v>
      </c>
      <c r="AG22" s="5">
        <v>0</v>
      </c>
    </row>
    <row r="23" spans="1:33" ht="15" customHeight="1" x14ac:dyDescent="0.35">
      <c r="A23" s="35">
        <v>21</v>
      </c>
      <c r="B23" s="2">
        <v>0</v>
      </c>
      <c r="C23" s="2">
        <v>1</v>
      </c>
      <c r="D23" s="2">
        <v>0</v>
      </c>
      <c r="E23" s="2">
        <v>0</v>
      </c>
      <c r="F23" s="5">
        <v>1</v>
      </c>
      <c r="G23" s="2">
        <v>1</v>
      </c>
      <c r="H23" s="2">
        <v>1</v>
      </c>
      <c r="I23" s="2">
        <v>0</v>
      </c>
      <c r="J23" s="2">
        <v>0</v>
      </c>
      <c r="K23" s="2">
        <v>1</v>
      </c>
      <c r="L23" s="5">
        <v>0</v>
      </c>
      <c r="M23" s="5">
        <v>1</v>
      </c>
      <c r="N23" s="2">
        <v>0</v>
      </c>
      <c r="O23" s="2">
        <v>1</v>
      </c>
      <c r="P23" s="5">
        <v>0</v>
      </c>
      <c r="Q23" s="2">
        <v>1</v>
      </c>
      <c r="R23" s="5">
        <v>0</v>
      </c>
      <c r="S23" s="5">
        <v>1</v>
      </c>
      <c r="T23" s="5">
        <v>1</v>
      </c>
      <c r="U23" s="5">
        <v>0</v>
      </c>
      <c r="V23" s="5">
        <v>0</v>
      </c>
      <c r="W23" s="5">
        <v>0</v>
      </c>
      <c r="X23" s="5">
        <v>1</v>
      </c>
      <c r="Y23" s="5">
        <v>1</v>
      </c>
      <c r="Z23" s="5">
        <v>0</v>
      </c>
      <c r="AA23" s="5">
        <v>1</v>
      </c>
      <c r="AB23" s="5">
        <v>1</v>
      </c>
      <c r="AC23" s="5">
        <v>0</v>
      </c>
      <c r="AD23" s="2">
        <v>0</v>
      </c>
      <c r="AE23" s="3">
        <v>0</v>
      </c>
      <c r="AF23" s="3">
        <v>0</v>
      </c>
      <c r="AG23" s="5">
        <v>1</v>
      </c>
    </row>
    <row r="24" spans="1:33" ht="15" customHeight="1" x14ac:dyDescent="0.35">
      <c r="A24" s="35">
        <v>22</v>
      </c>
      <c r="B24" s="2">
        <v>0</v>
      </c>
      <c r="C24" s="2">
        <v>1</v>
      </c>
      <c r="D24" s="2">
        <v>0</v>
      </c>
      <c r="E24" s="2">
        <v>0</v>
      </c>
      <c r="F24" s="5">
        <v>1</v>
      </c>
      <c r="G24" s="2">
        <v>1</v>
      </c>
      <c r="H24" s="2">
        <v>1</v>
      </c>
      <c r="I24" s="2">
        <v>0</v>
      </c>
      <c r="J24" s="2">
        <v>1</v>
      </c>
      <c r="K24" s="2">
        <v>1</v>
      </c>
      <c r="L24" s="5">
        <v>0</v>
      </c>
      <c r="M24" s="5">
        <v>1</v>
      </c>
      <c r="N24" s="2">
        <v>3</v>
      </c>
      <c r="O24" s="2">
        <v>0</v>
      </c>
      <c r="P24" s="5">
        <v>1</v>
      </c>
      <c r="Q24" s="2">
        <v>0</v>
      </c>
      <c r="R24" s="5">
        <v>0</v>
      </c>
      <c r="S24" s="5">
        <v>0</v>
      </c>
      <c r="T24" s="5">
        <v>1</v>
      </c>
      <c r="U24" s="5">
        <v>0</v>
      </c>
      <c r="V24" s="5">
        <v>1</v>
      </c>
      <c r="W24" s="5">
        <v>0</v>
      </c>
      <c r="X24" s="5">
        <v>1</v>
      </c>
      <c r="Y24" s="5">
        <v>1</v>
      </c>
      <c r="Z24" s="5">
        <v>1</v>
      </c>
      <c r="AA24" s="5">
        <v>1</v>
      </c>
      <c r="AB24" s="5">
        <v>1</v>
      </c>
      <c r="AC24" s="5">
        <v>0</v>
      </c>
      <c r="AD24" s="2">
        <v>0</v>
      </c>
      <c r="AE24" s="3">
        <v>0</v>
      </c>
      <c r="AF24" s="3">
        <v>0</v>
      </c>
      <c r="AG24" s="5">
        <v>0</v>
      </c>
    </row>
    <row r="25" spans="1:33" ht="15" customHeight="1" x14ac:dyDescent="0.35">
      <c r="A25" s="35">
        <v>23</v>
      </c>
      <c r="B25" s="2">
        <v>1</v>
      </c>
      <c r="C25" s="2">
        <v>1</v>
      </c>
      <c r="D25" s="2">
        <v>0</v>
      </c>
      <c r="E25" s="2">
        <v>1</v>
      </c>
      <c r="F25" s="5">
        <v>1</v>
      </c>
      <c r="G25" s="2">
        <v>1</v>
      </c>
      <c r="H25" s="2">
        <v>1</v>
      </c>
      <c r="I25" s="2">
        <v>1</v>
      </c>
      <c r="J25" s="2">
        <v>0</v>
      </c>
      <c r="K25" s="2">
        <v>1</v>
      </c>
      <c r="L25" s="5">
        <v>0</v>
      </c>
      <c r="M25" s="5">
        <v>1</v>
      </c>
      <c r="N25" s="2">
        <v>5</v>
      </c>
      <c r="O25" s="2">
        <v>1</v>
      </c>
      <c r="P25" s="5">
        <v>0</v>
      </c>
      <c r="Q25" s="2">
        <v>1</v>
      </c>
      <c r="R25" s="5">
        <v>0</v>
      </c>
      <c r="S25" s="5">
        <v>1</v>
      </c>
      <c r="T25" s="5">
        <v>0</v>
      </c>
      <c r="U25" s="5">
        <v>1</v>
      </c>
      <c r="V25" s="5">
        <v>0</v>
      </c>
      <c r="W25" s="5">
        <v>1</v>
      </c>
      <c r="X25" s="5">
        <v>1</v>
      </c>
      <c r="Y25" s="5">
        <v>1</v>
      </c>
      <c r="Z25" s="5">
        <v>0</v>
      </c>
      <c r="AA25" s="5">
        <v>0</v>
      </c>
      <c r="AB25" s="5">
        <v>0</v>
      </c>
      <c r="AC25" s="5">
        <v>1</v>
      </c>
      <c r="AD25" s="2">
        <v>1</v>
      </c>
      <c r="AE25" s="3">
        <v>0</v>
      </c>
      <c r="AF25" s="3">
        <v>0</v>
      </c>
      <c r="AG25" s="5">
        <v>1</v>
      </c>
    </row>
    <row r="26" spans="1:33" ht="15" customHeight="1" x14ac:dyDescent="0.35">
      <c r="A26" s="35">
        <v>24</v>
      </c>
      <c r="B26" s="2">
        <v>1</v>
      </c>
      <c r="C26" s="2">
        <v>1</v>
      </c>
      <c r="D26" s="2">
        <v>1</v>
      </c>
      <c r="E26" s="2">
        <v>1</v>
      </c>
      <c r="F26" s="5">
        <v>1</v>
      </c>
      <c r="G26" s="2">
        <v>1</v>
      </c>
      <c r="H26" s="2">
        <v>1</v>
      </c>
      <c r="I26" s="2">
        <v>0</v>
      </c>
      <c r="J26" s="2">
        <v>0</v>
      </c>
      <c r="K26" s="2">
        <v>0</v>
      </c>
      <c r="L26" s="5">
        <v>0</v>
      </c>
      <c r="M26" s="5">
        <v>1</v>
      </c>
      <c r="N26" s="2">
        <v>5</v>
      </c>
      <c r="O26" s="2">
        <v>1</v>
      </c>
      <c r="P26" s="5">
        <v>0</v>
      </c>
      <c r="Q26" s="2">
        <v>0</v>
      </c>
      <c r="R26" s="5">
        <v>0</v>
      </c>
      <c r="S26" s="5">
        <v>1</v>
      </c>
      <c r="T26" s="5">
        <v>1</v>
      </c>
      <c r="U26" s="5">
        <v>0</v>
      </c>
      <c r="V26" s="5">
        <v>0</v>
      </c>
      <c r="W26" s="5">
        <v>0</v>
      </c>
      <c r="X26" s="5">
        <v>1</v>
      </c>
      <c r="Y26" s="5">
        <v>0</v>
      </c>
      <c r="Z26" s="5">
        <v>0</v>
      </c>
      <c r="AA26" s="5">
        <v>0</v>
      </c>
      <c r="AB26" s="5">
        <v>0</v>
      </c>
      <c r="AC26" s="5">
        <v>0</v>
      </c>
      <c r="AD26" s="2">
        <v>0</v>
      </c>
      <c r="AE26" s="3">
        <v>0</v>
      </c>
      <c r="AF26" s="3">
        <v>0</v>
      </c>
      <c r="AG26" s="5">
        <v>0</v>
      </c>
    </row>
    <row r="27" spans="1:33" ht="15" customHeight="1" x14ac:dyDescent="0.35">
      <c r="A27" s="35">
        <v>25</v>
      </c>
      <c r="B27" s="2">
        <v>1</v>
      </c>
      <c r="C27" s="2">
        <v>1</v>
      </c>
      <c r="D27" s="2">
        <v>1</v>
      </c>
      <c r="E27" s="2">
        <v>0</v>
      </c>
      <c r="F27" s="5">
        <v>1</v>
      </c>
      <c r="G27" s="2">
        <v>0</v>
      </c>
      <c r="H27" s="2">
        <v>1</v>
      </c>
      <c r="I27" s="2">
        <v>1</v>
      </c>
      <c r="J27" s="2">
        <v>1</v>
      </c>
      <c r="K27" s="2">
        <v>1</v>
      </c>
      <c r="L27" s="5">
        <v>0</v>
      </c>
      <c r="M27" s="5">
        <v>1</v>
      </c>
      <c r="N27" s="2">
        <v>5</v>
      </c>
      <c r="O27" s="2">
        <v>1</v>
      </c>
      <c r="P27" s="5">
        <v>0</v>
      </c>
      <c r="Q27" s="2">
        <v>1</v>
      </c>
      <c r="R27" s="5">
        <v>0</v>
      </c>
      <c r="S27" s="5">
        <v>0</v>
      </c>
      <c r="T27" s="5">
        <v>1</v>
      </c>
      <c r="U27" s="5">
        <v>1</v>
      </c>
      <c r="V27" s="5">
        <v>0</v>
      </c>
      <c r="W27" s="5">
        <v>0</v>
      </c>
      <c r="X27" s="5">
        <v>1</v>
      </c>
      <c r="Y27" s="5">
        <v>1</v>
      </c>
      <c r="Z27" s="5">
        <v>0</v>
      </c>
      <c r="AA27" s="5">
        <v>0</v>
      </c>
      <c r="AB27" s="5">
        <v>1</v>
      </c>
      <c r="AC27" s="5">
        <v>0</v>
      </c>
      <c r="AD27" s="2">
        <v>0</v>
      </c>
      <c r="AE27" s="3">
        <v>0</v>
      </c>
      <c r="AF27" s="3">
        <v>0</v>
      </c>
      <c r="AG27" s="5">
        <v>0</v>
      </c>
    </row>
    <row r="28" spans="1:33" ht="15" customHeight="1" x14ac:dyDescent="0.35">
      <c r="A28" s="35">
        <v>26</v>
      </c>
      <c r="B28" s="2">
        <v>1</v>
      </c>
      <c r="C28" s="2">
        <v>1</v>
      </c>
      <c r="D28" s="2">
        <v>1</v>
      </c>
      <c r="E28" s="2">
        <v>0</v>
      </c>
      <c r="F28" s="5">
        <v>1</v>
      </c>
      <c r="G28" s="2">
        <v>1</v>
      </c>
      <c r="H28" s="2">
        <v>1</v>
      </c>
      <c r="I28" s="2">
        <v>1</v>
      </c>
      <c r="J28" s="2">
        <v>0</v>
      </c>
      <c r="K28" s="2">
        <v>1</v>
      </c>
      <c r="L28" s="5">
        <v>1</v>
      </c>
      <c r="M28" s="5">
        <v>0</v>
      </c>
      <c r="N28" s="2">
        <v>4</v>
      </c>
      <c r="O28" s="2">
        <v>1</v>
      </c>
      <c r="P28" s="5">
        <v>0</v>
      </c>
      <c r="Q28" s="2">
        <v>1</v>
      </c>
      <c r="R28" s="5">
        <v>0</v>
      </c>
      <c r="S28" s="5">
        <v>1</v>
      </c>
      <c r="T28" s="5">
        <v>1</v>
      </c>
      <c r="U28" s="5">
        <v>1</v>
      </c>
      <c r="V28" s="5">
        <v>0</v>
      </c>
      <c r="W28" s="5">
        <v>0</v>
      </c>
      <c r="X28" s="5">
        <v>0</v>
      </c>
      <c r="Y28" s="5">
        <v>1</v>
      </c>
      <c r="Z28" s="5">
        <v>0</v>
      </c>
      <c r="AA28" s="5">
        <v>1</v>
      </c>
      <c r="AB28" s="5">
        <v>1</v>
      </c>
      <c r="AC28" s="5">
        <v>0</v>
      </c>
      <c r="AD28" s="2">
        <v>0</v>
      </c>
      <c r="AE28" s="3">
        <v>1</v>
      </c>
      <c r="AF28" s="3">
        <v>0</v>
      </c>
      <c r="AG28" s="5">
        <v>1</v>
      </c>
    </row>
    <row r="29" spans="1:33" ht="15" customHeight="1" x14ac:dyDescent="0.35">
      <c r="A29" s="35">
        <v>27</v>
      </c>
      <c r="B29" s="2">
        <v>0</v>
      </c>
      <c r="C29" s="2">
        <v>1</v>
      </c>
      <c r="D29" s="2">
        <v>1</v>
      </c>
      <c r="E29" s="2">
        <v>1</v>
      </c>
      <c r="F29" s="5">
        <v>1</v>
      </c>
      <c r="G29" s="2">
        <v>1</v>
      </c>
      <c r="H29" s="2">
        <v>1</v>
      </c>
      <c r="I29" s="2">
        <v>0</v>
      </c>
      <c r="J29" s="2">
        <v>0</v>
      </c>
      <c r="K29" s="2">
        <v>1</v>
      </c>
      <c r="L29" s="5">
        <v>0</v>
      </c>
      <c r="M29" s="5">
        <v>1</v>
      </c>
      <c r="N29" s="2">
        <v>0</v>
      </c>
      <c r="O29" s="2">
        <v>0</v>
      </c>
      <c r="P29" s="5">
        <v>0</v>
      </c>
      <c r="Q29" s="2">
        <v>0</v>
      </c>
      <c r="R29" s="5">
        <v>0</v>
      </c>
      <c r="S29" s="5">
        <v>0</v>
      </c>
      <c r="T29" s="5">
        <v>1</v>
      </c>
      <c r="U29" s="5">
        <v>0</v>
      </c>
      <c r="V29" s="5">
        <v>0</v>
      </c>
      <c r="W29" s="5">
        <v>0</v>
      </c>
      <c r="X29" s="5">
        <v>0</v>
      </c>
      <c r="Y29" s="5">
        <v>1</v>
      </c>
      <c r="Z29" s="5">
        <v>0</v>
      </c>
      <c r="AA29" s="5">
        <v>1</v>
      </c>
      <c r="AB29" s="5">
        <v>0</v>
      </c>
      <c r="AC29" s="5">
        <v>0</v>
      </c>
      <c r="AD29" s="2">
        <v>0</v>
      </c>
      <c r="AE29" s="3">
        <v>0</v>
      </c>
      <c r="AF29" s="3">
        <v>0</v>
      </c>
      <c r="AG29" s="5">
        <v>0</v>
      </c>
    </row>
    <row r="30" spans="1:33" ht="15" customHeight="1" x14ac:dyDescent="0.35">
      <c r="A30" s="35">
        <v>28</v>
      </c>
      <c r="B30" s="2">
        <v>0</v>
      </c>
      <c r="C30" s="2">
        <v>0</v>
      </c>
      <c r="D30" s="2">
        <v>0</v>
      </c>
      <c r="E30" s="2">
        <v>1</v>
      </c>
      <c r="F30" s="5">
        <v>1</v>
      </c>
      <c r="G30" s="2">
        <v>1</v>
      </c>
      <c r="H30" s="2">
        <v>1</v>
      </c>
      <c r="I30" s="2">
        <v>1</v>
      </c>
      <c r="J30" s="2">
        <v>0</v>
      </c>
      <c r="K30" s="2">
        <v>0</v>
      </c>
      <c r="L30" s="5">
        <v>0</v>
      </c>
      <c r="M30" s="5">
        <v>0</v>
      </c>
      <c r="N30" s="2">
        <v>5</v>
      </c>
      <c r="O30" s="2">
        <v>1</v>
      </c>
      <c r="P30" s="5">
        <v>0</v>
      </c>
      <c r="Q30" s="2">
        <v>0</v>
      </c>
      <c r="R30" s="5">
        <v>1</v>
      </c>
      <c r="S30" s="5">
        <v>0</v>
      </c>
      <c r="T30" s="5">
        <v>0</v>
      </c>
      <c r="U30" s="5">
        <v>0</v>
      </c>
      <c r="V30" s="5">
        <v>0</v>
      </c>
      <c r="W30" s="5">
        <v>0</v>
      </c>
      <c r="X30" s="5">
        <v>1</v>
      </c>
      <c r="Y30" s="5">
        <v>1</v>
      </c>
      <c r="Z30" s="5">
        <v>0</v>
      </c>
      <c r="AA30" s="5">
        <v>0</v>
      </c>
      <c r="AB30" s="5">
        <v>1</v>
      </c>
      <c r="AC30" s="5">
        <v>0</v>
      </c>
      <c r="AD30" s="2">
        <v>0</v>
      </c>
      <c r="AE30" s="3">
        <v>0</v>
      </c>
      <c r="AF30" s="3">
        <v>0</v>
      </c>
      <c r="AG30" s="5">
        <v>1</v>
      </c>
    </row>
    <row r="31" spans="1:33" ht="15" customHeight="1" x14ac:dyDescent="0.35">
      <c r="A31" s="35">
        <v>29</v>
      </c>
      <c r="B31" s="2">
        <v>0</v>
      </c>
      <c r="C31" s="2">
        <v>0</v>
      </c>
      <c r="D31" s="2">
        <v>0</v>
      </c>
      <c r="E31" s="2">
        <v>0</v>
      </c>
      <c r="F31" s="5">
        <v>1</v>
      </c>
      <c r="G31" s="2">
        <v>1</v>
      </c>
      <c r="H31" s="2">
        <v>1</v>
      </c>
      <c r="I31" s="2">
        <v>1</v>
      </c>
      <c r="J31" s="2">
        <v>0</v>
      </c>
      <c r="K31" s="2">
        <v>0</v>
      </c>
      <c r="L31" s="5">
        <v>1</v>
      </c>
      <c r="M31" s="5">
        <v>1</v>
      </c>
      <c r="N31" s="2">
        <v>3</v>
      </c>
      <c r="O31" s="2">
        <v>1</v>
      </c>
      <c r="P31" s="5">
        <v>1</v>
      </c>
      <c r="Q31" s="2">
        <v>0</v>
      </c>
      <c r="R31" s="5">
        <v>0</v>
      </c>
      <c r="S31" s="5">
        <v>1</v>
      </c>
      <c r="T31" s="5">
        <v>1</v>
      </c>
      <c r="U31" s="5">
        <v>0</v>
      </c>
      <c r="V31" s="5">
        <v>0</v>
      </c>
      <c r="W31" s="5">
        <v>0</v>
      </c>
      <c r="X31" s="5">
        <v>1</v>
      </c>
      <c r="Y31" s="5">
        <v>1</v>
      </c>
      <c r="Z31" s="5">
        <v>0</v>
      </c>
      <c r="AA31" s="5">
        <v>1</v>
      </c>
      <c r="AB31" s="5">
        <v>1</v>
      </c>
      <c r="AC31" s="5">
        <v>0</v>
      </c>
      <c r="AD31" s="2">
        <v>1</v>
      </c>
      <c r="AE31" s="3">
        <v>1</v>
      </c>
      <c r="AF31" s="3">
        <v>0</v>
      </c>
      <c r="AG31" s="5">
        <v>0</v>
      </c>
    </row>
    <row r="32" spans="1:33" ht="15" customHeight="1" x14ac:dyDescent="0.35">
      <c r="A32" s="35">
        <v>30</v>
      </c>
      <c r="B32" s="2">
        <v>0</v>
      </c>
      <c r="C32" s="2">
        <v>1</v>
      </c>
      <c r="D32" s="2">
        <v>0</v>
      </c>
      <c r="E32" s="2">
        <v>0</v>
      </c>
      <c r="F32" s="5">
        <v>1</v>
      </c>
      <c r="G32" s="2">
        <v>0</v>
      </c>
      <c r="H32" s="2">
        <v>0</v>
      </c>
      <c r="I32" s="2">
        <v>0</v>
      </c>
      <c r="J32" s="2">
        <v>0</v>
      </c>
      <c r="K32" s="2">
        <v>0</v>
      </c>
      <c r="L32" s="5">
        <v>0</v>
      </c>
      <c r="M32" s="5">
        <v>1</v>
      </c>
      <c r="N32" s="2">
        <v>4</v>
      </c>
      <c r="O32" s="2">
        <v>1</v>
      </c>
      <c r="P32" s="5">
        <v>0</v>
      </c>
      <c r="Q32" s="2">
        <v>0</v>
      </c>
      <c r="R32" s="5">
        <v>0</v>
      </c>
      <c r="S32" s="5">
        <v>0</v>
      </c>
      <c r="T32" s="5">
        <v>1</v>
      </c>
      <c r="U32" s="5">
        <v>0</v>
      </c>
      <c r="V32" s="5">
        <v>1</v>
      </c>
      <c r="W32" s="5">
        <v>0</v>
      </c>
      <c r="X32" s="5">
        <v>0</v>
      </c>
      <c r="Y32" s="5">
        <v>0</v>
      </c>
      <c r="Z32" s="5">
        <v>0</v>
      </c>
      <c r="AA32" s="5">
        <v>0</v>
      </c>
      <c r="AB32" s="5">
        <v>0</v>
      </c>
      <c r="AC32" s="5">
        <v>0</v>
      </c>
      <c r="AD32" s="2">
        <v>0</v>
      </c>
      <c r="AE32" s="3">
        <v>0</v>
      </c>
      <c r="AF32" s="3">
        <v>0</v>
      </c>
      <c r="AG32" s="5">
        <v>0</v>
      </c>
    </row>
    <row r="33" spans="1:33" ht="15" customHeight="1" x14ac:dyDescent="0.35">
      <c r="A33" s="35">
        <v>31</v>
      </c>
      <c r="B33" s="2">
        <v>0</v>
      </c>
      <c r="C33" s="2">
        <v>1</v>
      </c>
      <c r="D33" s="2">
        <v>1</v>
      </c>
      <c r="E33" s="2">
        <v>0</v>
      </c>
      <c r="F33" s="5">
        <v>0</v>
      </c>
      <c r="G33" s="2">
        <v>0</v>
      </c>
      <c r="H33" s="2">
        <v>1</v>
      </c>
      <c r="I33" s="2">
        <v>1</v>
      </c>
      <c r="J33" s="2">
        <v>0</v>
      </c>
      <c r="K33" s="2">
        <v>0</v>
      </c>
      <c r="L33" s="5">
        <v>0</v>
      </c>
      <c r="M33" s="5">
        <v>1</v>
      </c>
      <c r="N33" s="2">
        <v>3</v>
      </c>
      <c r="O33" s="2">
        <v>1</v>
      </c>
      <c r="P33" s="5">
        <v>1</v>
      </c>
      <c r="Q33" s="2">
        <v>0</v>
      </c>
      <c r="R33" s="5">
        <v>0</v>
      </c>
      <c r="S33" s="5">
        <v>0</v>
      </c>
      <c r="T33" s="5">
        <v>1</v>
      </c>
      <c r="U33" s="5">
        <v>1</v>
      </c>
      <c r="V33" s="5">
        <v>1</v>
      </c>
      <c r="W33" s="5">
        <v>0</v>
      </c>
      <c r="X33" s="5">
        <v>1</v>
      </c>
      <c r="Y33" s="5">
        <v>1</v>
      </c>
      <c r="Z33" s="5">
        <v>0</v>
      </c>
      <c r="AA33" s="5">
        <v>1</v>
      </c>
      <c r="AB33" s="5">
        <v>0</v>
      </c>
      <c r="AC33" s="5">
        <v>0</v>
      </c>
      <c r="AD33" s="2">
        <v>0</v>
      </c>
      <c r="AE33" s="3">
        <v>0</v>
      </c>
      <c r="AF33" s="3">
        <v>0</v>
      </c>
      <c r="AG33" s="5">
        <v>0</v>
      </c>
    </row>
    <row r="34" spans="1:33" ht="15" customHeight="1" x14ac:dyDescent="0.35">
      <c r="A34" s="35">
        <v>32</v>
      </c>
      <c r="B34" s="2">
        <v>0</v>
      </c>
      <c r="C34" s="2">
        <v>1</v>
      </c>
      <c r="D34" s="2">
        <v>0</v>
      </c>
      <c r="E34" s="2">
        <v>0</v>
      </c>
      <c r="F34" s="5">
        <v>1</v>
      </c>
      <c r="G34" s="2">
        <v>1</v>
      </c>
      <c r="H34" s="2">
        <v>1</v>
      </c>
      <c r="I34" s="2">
        <v>1</v>
      </c>
      <c r="J34" s="2">
        <v>0</v>
      </c>
      <c r="K34" s="2">
        <v>1</v>
      </c>
      <c r="L34" s="5">
        <v>0</v>
      </c>
      <c r="M34" s="5">
        <v>1</v>
      </c>
      <c r="N34" s="2">
        <v>1</v>
      </c>
      <c r="O34" s="2">
        <v>1</v>
      </c>
      <c r="P34" s="5">
        <v>0</v>
      </c>
      <c r="Q34" s="2">
        <v>0</v>
      </c>
      <c r="R34" s="5">
        <v>0</v>
      </c>
      <c r="S34" s="5">
        <v>1</v>
      </c>
      <c r="T34" s="5">
        <v>0</v>
      </c>
      <c r="U34" s="5">
        <v>1</v>
      </c>
      <c r="V34" s="5">
        <v>0</v>
      </c>
      <c r="W34" s="5">
        <v>0</v>
      </c>
      <c r="X34" s="5">
        <v>0</v>
      </c>
      <c r="Y34" s="5">
        <v>0</v>
      </c>
      <c r="Z34" s="5">
        <v>0</v>
      </c>
      <c r="AA34" s="5">
        <v>0</v>
      </c>
      <c r="AB34" s="5">
        <v>0</v>
      </c>
      <c r="AC34" s="5">
        <v>0</v>
      </c>
      <c r="AD34" s="2">
        <v>0</v>
      </c>
      <c r="AE34" s="3">
        <v>1</v>
      </c>
      <c r="AF34" s="3">
        <v>0</v>
      </c>
      <c r="AG34" s="5">
        <v>0</v>
      </c>
    </row>
    <row r="35" spans="1:33" ht="15" customHeight="1" x14ac:dyDescent="0.35">
      <c r="A35" s="35">
        <v>33</v>
      </c>
      <c r="B35" s="2">
        <v>0</v>
      </c>
      <c r="C35" s="2">
        <v>1</v>
      </c>
      <c r="D35" s="2">
        <v>1</v>
      </c>
      <c r="E35" s="2">
        <v>0</v>
      </c>
      <c r="F35" s="5">
        <v>0</v>
      </c>
      <c r="G35" s="2">
        <v>1</v>
      </c>
      <c r="H35" s="2">
        <v>1</v>
      </c>
      <c r="I35" s="2">
        <v>0</v>
      </c>
      <c r="J35" s="2">
        <v>0</v>
      </c>
      <c r="K35" s="2">
        <v>1</v>
      </c>
      <c r="L35" s="5">
        <v>0</v>
      </c>
      <c r="M35" s="5">
        <v>1</v>
      </c>
      <c r="N35" s="2">
        <v>4</v>
      </c>
      <c r="O35" s="2">
        <v>0</v>
      </c>
      <c r="P35" s="5">
        <v>0</v>
      </c>
      <c r="Q35" s="2">
        <v>1</v>
      </c>
      <c r="R35" s="5">
        <v>0</v>
      </c>
      <c r="S35" s="5">
        <v>1</v>
      </c>
      <c r="T35" s="5">
        <v>1</v>
      </c>
      <c r="U35" s="5">
        <v>0</v>
      </c>
      <c r="V35" s="5">
        <v>0</v>
      </c>
      <c r="W35" s="5">
        <v>0</v>
      </c>
      <c r="X35" s="5">
        <v>0</v>
      </c>
      <c r="Y35" s="5">
        <v>1</v>
      </c>
      <c r="Z35" s="5">
        <v>0</v>
      </c>
      <c r="AA35" s="5">
        <v>1</v>
      </c>
      <c r="AB35" s="5">
        <v>0</v>
      </c>
      <c r="AC35" s="5">
        <v>0</v>
      </c>
      <c r="AD35" s="2">
        <v>1</v>
      </c>
      <c r="AE35" s="3">
        <v>1</v>
      </c>
      <c r="AF35" s="3">
        <v>1</v>
      </c>
      <c r="AG35" s="5">
        <v>0</v>
      </c>
    </row>
    <row r="36" spans="1:33" ht="15" customHeight="1" x14ac:dyDescent="0.35">
      <c r="A36" s="35">
        <v>34</v>
      </c>
      <c r="B36" s="2">
        <v>1</v>
      </c>
      <c r="C36" s="2">
        <v>1</v>
      </c>
      <c r="D36" s="2">
        <v>1</v>
      </c>
      <c r="E36" s="2">
        <v>1</v>
      </c>
      <c r="F36" s="5">
        <v>1</v>
      </c>
      <c r="G36" s="2">
        <v>1</v>
      </c>
      <c r="H36" s="2">
        <v>1</v>
      </c>
      <c r="I36" s="2">
        <v>1</v>
      </c>
      <c r="J36" s="2">
        <v>0</v>
      </c>
      <c r="K36" s="2">
        <v>1</v>
      </c>
      <c r="L36" s="5">
        <v>1</v>
      </c>
      <c r="M36" s="5">
        <v>1</v>
      </c>
      <c r="N36" s="2">
        <v>5</v>
      </c>
      <c r="O36" s="2">
        <v>1</v>
      </c>
      <c r="P36" s="5">
        <v>1</v>
      </c>
      <c r="Q36" s="2">
        <v>1</v>
      </c>
      <c r="R36" s="5">
        <v>1</v>
      </c>
      <c r="S36" s="5">
        <v>0</v>
      </c>
      <c r="T36" s="5">
        <v>1</v>
      </c>
      <c r="U36" s="5">
        <v>0</v>
      </c>
      <c r="V36" s="5">
        <v>1</v>
      </c>
      <c r="W36" s="5">
        <v>1</v>
      </c>
      <c r="X36" s="5">
        <v>0</v>
      </c>
      <c r="Y36" s="5">
        <v>1</v>
      </c>
      <c r="Z36" s="5">
        <v>0</v>
      </c>
      <c r="AA36" s="5">
        <v>1</v>
      </c>
      <c r="AB36" s="5">
        <v>0</v>
      </c>
      <c r="AC36" s="5">
        <v>0</v>
      </c>
      <c r="AD36" s="2">
        <v>0</v>
      </c>
      <c r="AE36" s="3">
        <v>1</v>
      </c>
      <c r="AF36" s="3">
        <v>1</v>
      </c>
      <c r="AG36" s="5">
        <v>1</v>
      </c>
    </row>
    <row r="37" spans="1:33" s="7" customFormat="1" x14ac:dyDescent="0.35">
      <c r="A37" s="36" t="s">
        <v>214</v>
      </c>
      <c r="B37" s="36">
        <f>SUM(B3:B36)</f>
        <v>11</v>
      </c>
      <c r="C37" s="36">
        <f t="shared" ref="C37:AG37" si="0">SUM(C3:C36)</f>
        <v>25</v>
      </c>
      <c r="D37" s="36">
        <f t="shared" si="0"/>
        <v>18</v>
      </c>
      <c r="E37" s="36">
        <f t="shared" si="0"/>
        <v>17</v>
      </c>
      <c r="F37" s="36">
        <f t="shared" si="0"/>
        <v>26</v>
      </c>
      <c r="G37" s="36">
        <f t="shared" si="0"/>
        <v>22</v>
      </c>
      <c r="H37" s="36">
        <f t="shared" si="0"/>
        <v>28</v>
      </c>
      <c r="I37" s="36">
        <f t="shared" si="0"/>
        <v>19</v>
      </c>
      <c r="J37" s="36">
        <f t="shared" si="0"/>
        <v>7</v>
      </c>
      <c r="K37" s="36">
        <f t="shared" si="0"/>
        <v>20</v>
      </c>
      <c r="L37" s="36">
        <f t="shared" si="0"/>
        <v>13</v>
      </c>
      <c r="M37" s="36">
        <f t="shared" si="0"/>
        <v>27</v>
      </c>
      <c r="N37" s="36">
        <f t="shared" si="0"/>
        <v>96</v>
      </c>
      <c r="O37" s="36">
        <f t="shared" si="0"/>
        <v>25</v>
      </c>
      <c r="P37" s="36">
        <f t="shared" si="0"/>
        <v>5</v>
      </c>
      <c r="Q37" s="36">
        <f t="shared" si="0"/>
        <v>9</v>
      </c>
      <c r="R37" s="36">
        <f t="shared" si="0"/>
        <v>4</v>
      </c>
      <c r="S37" s="36">
        <f t="shared" si="0"/>
        <v>14</v>
      </c>
      <c r="T37" s="36">
        <f t="shared" si="0"/>
        <v>23</v>
      </c>
      <c r="U37" s="36">
        <f t="shared" si="0"/>
        <v>15</v>
      </c>
      <c r="V37" s="36">
        <f t="shared" si="0"/>
        <v>6</v>
      </c>
      <c r="W37" s="36">
        <f t="shared" si="0"/>
        <v>2</v>
      </c>
      <c r="X37" s="36">
        <f t="shared" si="0"/>
        <v>14</v>
      </c>
      <c r="Y37" s="36">
        <f t="shared" si="0"/>
        <v>23</v>
      </c>
      <c r="Z37" s="36">
        <f t="shared" si="0"/>
        <v>8</v>
      </c>
      <c r="AA37" s="36">
        <f t="shared" si="0"/>
        <v>20</v>
      </c>
      <c r="AB37" s="36">
        <f t="shared" si="0"/>
        <v>17</v>
      </c>
      <c r="AC37" s="36">
        <f t="shared" si="0"/>
        <v>3</v>
      </c>
      <c r="AD37" s="36">
        <f>SUM(AD3:AD36)</f>
        <v>8</v>
      </c>
      <c r="AE37" s="36">
        <f t="shared" si="0"/>
        <v>8</v>
      </c>
      <c r="AF37" s="36">
        <f t="shared" si="0"/>
        <v>3</v>
      </c>
      <c r="AG37" s="36">
        <f t="shared" si="0"/>
        <v>8</v>
      </c>
    </row>
    <row r="38" spans="1:33" s="7" customFormat="1" x14ac:dyDescent="0.35">
      <c r="A38" s="36" t="s">
        <v>290</v>
      </c>
      <c r="B38" s="36">
        <f>B37/34*100</f>
        <v>32.352941176470587</v>
      </c>
      <c r="C38" s="36">
        <f t="shared" ref="C38:AG38" si="1">C37/34*100</f>
        <v>73.529411764705884</v>
      </c>
      <c r="D38" s="36">
        <f t="shared" si="1"/>
        <v>52.941176470588239</v>
      </c>
      <c r="E38" s="36">
        <f t="shared" si="1"/>
        <v>50</v>
      </c>
      <c r="F38" s="36">
        <f t="shared" si="1"/>
        <v>76.470588235294116</v>
      </c>
      <c r="G38" s="36">
        <f t="shared" si="1"/>
        <v>64.705882352941174</v>
      </c>
      <c r="H38" s="36">
        <f t="shared" si="1"/>
        <v>82.35294117647058</v>
      </c>
      <c r="I38" s="36">
        <f t="shared" si="1"/>
        <v>55.882352941176471</v>
      </c>
      <c r="J38" s="36">
        <f t="shared" si="1"/>
        <v>20.588235294117645</v>
      </c>
      <c r="K38" s="36">
        <f t="shared" si="1"/>
        <v>58.82352941176471</v>
      </c>
      <c r="L38" s="36">
        <f t="shared" si="1"/>
        <v>38.235294117647058</v>
      </c>
      <c r="M38" s="36">
        <f t="shared" si="1"/>
        <v>79.411764705882348</v>
      </c>
      <c r="N38" s="36">
        <f>N37/34*100/5</f>
        <v>56.470588235294123</v>
      </c>
      <c r="O38" s="36">
        <f t="shared" si="1"/>
        <v>73.529411764705884</v>
      </c>
      <c r="P38" s="36">
        <f t="shared" si="1"/>
        <v>14.705882352941178</v>
      </c>
      <c r="Q38" s="36">
        <f t="shared" si="1"/>
        <v>26.47058823529412</v>
      </c>
      <c r="R38" s="36">
        <f t="shared" si="1"/>
        <v>11.76470588235294</v>
      </c>
      <c r="S38" s="36">
        <f t="shared" si="1"/>
        <v>41.17647058823529</v>
      </c>
      <c r="T38" s="36">
        <f t="shared" si="1"/>
        <v>67.64705882352942</v>
      </c>
      <c r="U38" s="36">
        <f t="shared" si="1"/>
        <v>44.117647058823529</v>
      </c>
      <c r="V38" s="36">
        <f t="shared" si="1"/>
        <v>17.647058823529413</v>
      </c>
      <c r="W38" s="36">
        <f t="shared" si="1"/>
        <v>5.8823529411764701</v>
      </c>
      <c r="X38" s="36">
        <f t="shared" si="1"/>
        <v>41.17647058823529</v>
      </c>
      <c r="Y38" s="36">
        <f t="shared" si="1"/>
        <v>67.64705882352942</v>
      </c>
      <c r="Z38" s="36">
        <f t="shared" si="1"/>
        <v>23.52941176470588</v>
      </c>
      <c r="AA38" s="36">
        <f t="shared" si="1"/>
        <v>58.82352941176471</v>
      </c>
      <c r="AB38" s="36">
        <f t="shared" si="1"/>
        <v>50</v>
      </c>
      <c r="AC38" s="36">
        <f t="shared" si="1"/>
        <v>8.8235294117647065</v>
      </c>
      <c r="AD38" s="36">
        <f>AD37/34*100</f>
        <v>23.52941176470588</v>
      </c>
      <c r="AE38" s="36">
        <f t="shared" si="1"/>
        <v>23.52941176470588</v>
      </c>
      <c r="AF38" s="36">
        <f t="shared" si="1"/>
        <v>8.8235294117647065</v>
      </c>
      <c r="AG38" s="36">
        <f t="shared" si="1"/>
        <v>23.52941176470588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36"/>
  <sheetViews>
    <sheetView tabSelected="1" topLeftCell="D7" zoomScale="55" zoomScaleNormal="55" workbookViewId="0">
      <selection activeCell="I40" sqref="I40"/>
    </sheetView>
  </sheetViews>
  <sheetFormatPr defaultColWidth="8.6328125" defaultRowHeight="14.5" x14ac:dyDescent="0.35"/>
  <cols>
    <col min="1" max="1" width="8.08984375" style="13" bestFit="1" customWidth="1"/>
    <col min="2" max="2" width="147.1796875" style="13" bestFit="1" customWidth="1"/>
    <col min="3" max="3" width="82.6328125" style="13" bestFit="1" customWidth="1"/>
    <col min="4" max="5" width="11.6328125" style="13" bestFit="1" customWidth="1"/>
    <col min="6" max="6" width="11.6328125" style="13" customWidth="1"/>
    <col min="7" max="7" width="93.26953125" style="13" customWidth="1"/>
    <col min="8" max="8" width="21.08984375" style="13" customWidth="1"/>
    <col min="9" max="9" width="40" style="19" customWidth="1"/>
    <col min="10" max="10" width="67.81640625" style="13" bestFit="1" customWidth="1"/>
    <col min="11" max="12" width="11.6328125" style="13" bestFit="1" customWidth="1"/>
    <col min="13" max="13" width="102.26953125" style="19" bestFit="1" customWidth="1"/>
    <col min="14" max="14" width="11.6328125" style="19" bestFit="1" customWidth="1"/>
    <col min="15" max="15" width="16.26953125" style="13" customWidth="1"/>
    <col min="16" max="17" width="15.7265625" style="13" bestFit="1" customWidth="1"/>
    <col min="18" max="18" width="255.6328125" style="13" bestFit="1" customWidth="1"/>
    <col min="19" max="19" width="185.90625" style="13" bestFit="1" customWidth="1"/>
    <col min="20" max="21" width="21.36328125" style="13" bestFit="1" customWidth="1"/>
    <col min="22" max="22" width="21.36328125" style="13" customWidth="1"/>
    <col min="23" max="23" width="22.453125" style="13" bestFit="1" customWidth="1"/>
    <col min="24" max="24" width="142.08984375" style="13" bestFit="1" customWidth="1"/>
    <col min="25" max="26" width="39.6328125" style="13" customWidth="1"/>
    <col min="27" max="27" width="22.453125" style="13" bestFit="1" customWidth="1"/>
    <col min="28" max="29" width="22.453125" style="13" customWidth="1"/>
    <col min="30" max="30" width="79.08984375" style="13" bestFit="1" customWidth="1"/>
    <col min="31" max="31" width="99.81640625" style="13" bestFit="1" customWidth="1"/>
    <col min="32" max="32" width="77.6328125" style="13" bestFit="1" customWidth="1"/>
    <col min="33" max="33" width="95.6328125" style="13" bestFit="1" customWidth="1"/>
    <col min="34" max="34" width="20.7265625" style="13" bestFit="1" customWidth="1"/>
    <col min="35" max="35" width="67.81640625" style="13" bestFit="1" customWidth="1"/>
    <col min="36" max="36" width="100.26953125" style="13" bestFit="1" customWidth="1"/>
    <col min="37" max="37" width="3.36328125" style="13" bestFit="1" customWidth="1"/>
    <col min="38" max="16384" width="8.6328125" style="12"/>
  </cols>
  <sheetData>
    <row r="1" spans="1:38" customFormat="1" ht="15" customHeight="1" x14ac:dyDescent="0.35">
      <c r="A1" s="9" t="s">
        <v>206</v>
      </c>
      <c r="B1" s="1" t="s">
        <v>1</v>
      </c>
      <c r="C1" s="1" t="s">
        <v>1</v>
      </c>
      <c r="D1" s="1" t="s">
        <v>2</v>
      </c>
      <c r="E1" s="1" t="s">
        <v>2</v>
      </c>
      <c r="F1" s="1" t="s">
        <v>2</v>
      </c>
      <c r="G1" s="1" t="s">
        <v>2</v>
      </c>
      <c r="H1" s="1" t="s">
        <v>2</v>
      </c>
      <c r="I1" s="1" t="s">
        <v>2</v>
      </c>
      <c r="J1" s="1" t="s">
        <v>2</v>
      </c>
      <c r="K1" s="1" t="s">
        <v>2</v>
      </c>
      <c r="L1" s="1" t="s">
        <v>2</v>
      </c>
      <c r="M1" s="1" t="s">
        <v>2</v>
      </c>
      <c r="N1" s="1" t="s">
        <v>2</v>
      </c>
      <c r="O1" s="1" t="s">
        <v>3</v>
      </c>
      <c r="P1" s="1" t="s">
        <v>3</v>
      </c>
      <c r="Q1" s="1" t="s">
        <v>3</v>
      </c>
      <c r="R1" s="1" t="s">
        <v>4</v>
      </c>
      <c r="S1" s="1" t="s">
        <v>4</v>
      </c>
      <c r="T1" s="1" t="s">
        <v>205</v>
      </c>
      <c r="U1" s="1" t="s">
        <v>205</v>
      </c>
      <c r="V1" s="1" t="s">
        <v>205</v>
      </c>
      <c r="W1" s="1" t="s">
        <v>205</v>
      </c>
      <c r="X1" s="1" t="s">
        <v>205</v>
      </c>
      <c r="Y1" s="11" t="s">
        <v>5</v>
      </c>
      <c r="Z1" s="27" t="s">
        <v>5</v>
      </c>
      <c r="AA1" s="27" t="s">
        <v>5</v>
      </c>
      <c r="AB1" s="27" t="s">
        <v>5</v>
      </c>
      <c r="AC1" s="27" t="s">
        <v>5</v>
      </c>
      <c r="AD1" s="29" t="s">
        <v>5</v>
      </c>
      <c r="AE1" s="1" t="s">
        <v>6</v>
      </c>
      <c r="AF1" s="1" t="s">
        <v>6</v>
      </c>
      <c r="AG1" s="1" t="s">
        <v>6</v>
      </c>
      <c r="AH1" s="1" t="s">
        <v>6</v>
      </c>
      <c r="AI1" s="1"/>
      <c r="AJ1" s="1"/>
      <c r="AK1" s="1"/>
      <c r="AL1" s="1"/>
    </row>
    <row r="2" spans="1:38" s="7" customFormat="1" ht="15" customHeight="1" x14ac:dyDescent="0.3">
      <c r="A2" s="6" t="s">
        <v>0</v>
      </c>
      <c r="B2" s="6">
        <v>1</v>
      </c>
      <c r="C2" s="6">
        <v>2</v>
      </c>
      <c r="D2" s="6">
        <v>1</v>
      </c>
      <c r="E2" s="6">
        <v>2</v>
      </c>
      <c r="F2" s="6">
        <v>3</v>
      </c>
      <c r="G2" s="37" t="s">
        <v>207</v>
      </c>
      <c r="H2" s="6" t="s">
        <v>208</v>
      </c>
      <c r="I2" s="20" t="s">
        <v>209</v>
      </c>
      <c r="J2" s="6" t="s">
        <v>210</v>
      </c>
      <c r="K2" s="8" t="s">
        <v>286</v>
      </c>
      <c r="L2" s="6" t="s">
        <v>287</v>
      </c>
      <c r="M2" s="6" t="s">
        <v>212</v>
      </c>
      <c r="N2" s="21" t="s">
        <v>213</v>
      </c>
      <c r="O2" s="10" t="s">
        <v>215</v>
      </c>
      <c r="P2" s="6">
        <v>2</v>
      </c>
      <c r="Q2" s="6">
        <v>3</v>
      </c>
      <c r="R2" s="6">
        <v>1</v>
      </c>
      <c r="S2" s="6">
        <v>2</v>
      </c>
      <c r="T2" s="6">
        <v>3</v>
      </c>
      <c r="U2" s="6" t="s">
        <v>207</v>
      </c>
      <c r="V2" s="6" t="s">
        <v>208</v>
      </c>
      <c r="W2" s="6">
        <v>5</v>
      </c>
      <c r="X2" s="6">
        <v>6</v>
      </c>
      <c r="Y2" s="24">
        <v>1</v>
      </c>
      <c r="Z2" s="6">
        <v>2</v>
      </c>
      <c r="AA2" s="6">
        <v>3</v>
      </c>
      <c r="AB2" s="6">
        <v>4</v>
      </c>
      <c r="AC2" s="6">
        <v>5</v>
      </c>
      <c r="AD2" s="30">
        <v>6</v>
      </c>
      <c r="AE2" s="6">
        <v>1</v>
      </c>
      <c r="AF2" s="6" t="s">
        <v>216</v>
      </c>
      <c r="AG2" s="6" t="s">
        <v>217</v>
      </c>
      <c r="AH2" s="6">
        <v>3</v>
      </c>
    </row>
    <row r="3" spans="1:38" ht="15" customHeight="1" x14ac:dyDescent="0.35">
      <c r="A3" s="15">
        <v>1</v>
      </c>
      <c r="B3" s="15" t="s">
        <v>7</v>
      </c>
      <c r="C3" s="15" t="s">
        <v>8</v>
      </c>
      <c r="D3" s="15" t="s">
        <v>9</v>
      </c>
      <c r="E3" s="15" t="s">
        <v>10</v>
      </c>
      <c r="F3" s="15" t="s">
        <v>10</v>
      </c>
      <c r="G3" s="15" t="s">
        <v>11</v>
      </c>
      <c r="H3" s="15" t="s">
        <v>10</v>
      </c>
      <c r="I3" s="19" t="s">
        <v>257</v>
      </c>
      <c r="J3" s="15" t="s">
        <v>12</v>
      </c>
      <c r="K3" s="16" t="s">
        <v>13</v>
      </c>
      <c r="L3" s="16" t="s">
        <v>13</v>
      </c>
      <c r="M3" s="19" t="s">
        <v>17</v>
      </c>
      <c r="N3" s="19" t="s">
        <v>14</v>
      </c>
      <c r="O3" s="38" t="s">
        <v>289</v>
      </c>
      <c r="P3" s="15" t="s">
        <v>14</v>
      </c>
      <c r="Q3" s="14" t="s">
        <v>15</v>
      </c>
      <c r="R3" s="15" t="s">
        <v>16</v>
      </c>
      <c r="S3" s="15" t="s">
        <v>17</v>
      </c>
      <c r="T3" s="15" t="s">
        <v>21</v>
      </c>
      <c r="U3" s="15" t="s">
        <v>14</v>
      </c>
      <c r="V3" s="15" t="s">
        <v>14</v>
      </c>
      <c r="W3" s="15" t="s">
        <v>18</v>
      </c>
      <c r="X3" s="15" t="s">
        <v>19</v>
      </c>
      <c r="Y3" s="25" t="s">
        <v>13</v>
      </c>
      <c r="Z3" s="15" t="s">
        <v>20</v>
      </c>
      <c r="AA3" s="28" t="s">
        <v>10</v>
      </c>
      <c r="AB3" s="15" t="s">
        <v>13</v>
      </c>
      <c r="AC3" s="26" t="s">
        <v>9</v>
      </c>
      <c r="AD3" s="26" t="s">
        <v>19</v>
      </c>
      <c r="AE3" s="17" t="s">
        <v>19</v>
      </c>
      <c r="AF3" s="17" t="s">
        <v>19</v>
      </c>
      <c r="AG3" s="17" t="s">
        <v>19</v>
      </c>
      <c r="AH3" s="15" t="s">
        <v>10</v>
      </c>
      <c r="AL3" s="13"/>
    </row>
    <row r="4" spans="1:38" ht="15" customHeight="1" x14ac:dyDescent="0.35">
      <c r="A4" s="15">
        <v>2</v>
      </c>
      <c r="B4" s="15" t="s">
        <v>22</v>
      </c>
      <c r="C4" s="15" t="s">
        <v>23</v>
      </c>
      <c r="D4" s="15" t="s">
        <v>13</v>
      </c>
      <c r="E4" s="15" t="s">
        <v>9</v>
      </c>
      <c r="F4" s="15" t="s">
        <v>18</v>
      </c>
      <c r="G4" s="15" t="s">
        <v>24</v>
      </c>
      <c r="H4" s="15" t="s">
        <v>10</v>
      </c>
      <c r="I4" s="19" t="s">
        <v>258</v>
      </c>
      <c r="J4" s="15" t="b">
        <f>FALSE()</f>
        <v>0</v>
      </c>
      <c r="K4" s="16" t="s">
        <v>9</v>
      </c>
      <c r="L4" s="16" t="s">
        <v>9</v>
      </c>
      <c r="M4" s="19" t="s">
        <v>27</v>
      </c>
      <c r="N4" s="19" t="s">
        <v>14</v>
      </c>
      <c r="O4" s="39"/>
      <c r="P4" s="15" t="s">
        <v>14</v>
      </c>
      <c r="Q4" s="14" t="s">
        <v>15</v>
      </c>
      <c r="R4" s="15" t="s">
        <v>16</v>
      </c>
      <c r="S4" s="15" t="s">
        <v>19</v>
      </c>
      <c r="T4" s="15" t="s">
        <v>26</v>
      </c>
      <c r="U4" s="15" t="s">
        <v>9</v>
      </c>
      <c r="V4" s="15" t="s">
        <v>26</v>
      </c>
      <c r="W4" s="15" t="s">
        <v>9</v>
      </c>
      <c r="X4" s="15" t="s">
        <v>25</v>
      </c>
      <c r="Y4" s="25" t="s">
        <v>10</v>
      </c>
      <c r="Z4" s="15" t="s">
        <v>20</v>
      </c>
      <c r="AA4" s="28" t="s">
        <v>9</v>
      </c>
      <c r="AB4" s="15" t="s">
        <v>13</v>
      </c>
      <c r="AC4" s="26" t="s">
        <v>13</v>
      </c>
      <c r="AD4" s="26" t="s">
        <v>19</v>
      </c>
      <c r="AE4" s="17" t="s">
        <v>236</v>
      </c>
      <c r="AF4" s="17" t="s">
        <v>19</v>
      </c>
      <c r="AG4" s="17" t="s">
        <v>19</v>
      </c>
      <c r="AH4" s="15" t="s">
        <v>13</v>
      </c>
      <c r="AL4" s="13"/>
    </row>
    <row r="5" spans="1:38" ht="15" customHeight="1" x14ac:dyDescent="0.35">
      <c r="A5" s="15">
        <v>3</v>
      </c>
      <c r="B5" s="15" t="s">
        <v>28</v>
      </c>
      <c r="C5" s="15" t="s">
        <v>29</v>
      </c>
      <c r="D5" s="15" t="s">
        <v>10</v>
      </c>
      <c r="E5" s="15" t="s">
        <v>10</v>
      </c>
      <c r="F5" s="15" t="s">
        <v>10</v>
      </c>
      <c r="G5" s="15" t="s">
        <v>30</v>
      </c>
      <c r="H5" s="15" t="s">
        <v>10</v>
      </c>
      <c r="I5" s="41" t="s">
        <v>294</v>
      </c>
      <c r="J5" s="15" t="b">
        <f>TRUE()</f>
        <v>1</v>
      </c>
      <c r="K5" s="16" t="s">
        <v>13</v>
      </c>
      <c r="L5" s="16" t="s">
        <v>13</v>
      </c>
      <c r="M5" s="19" t="s">
        <v>19</v>
      </c>
      <c r="N5" s="19" t="s">
        <v>9</v>
      </c>
      <c r="O5" s="39"/>
      <c r="P5" s="15" t="s">
        <v>9</v>
      </c>
      <c r="Q5" s="14" t="s">
        <v>10</v>
      </c>
      <c r="R5" s="15" t="s">
        <v>31</v>
      </c>
      <c r="S5" s="15" t="s">
        <v>17</v>
      </c>
      <c r="T5" s="15" t="s">
        <v>14</v>
      </c>
      <c r="U5" s="15" t="s">
        <v>14</v>
      </c>
      <c r="V5" s="15" t="s">
        <v>26</v>
      </c>
      <c r="W5" s="15" t="s">
        <v>13</v>
      </c>
      <c r="X5" s="15" t="s">
        <v>32</v>
      </c>
      <c r="Y5" s="25" t="s">
        <v>15</v>
      </c>
      <c r="Z5" s="15" t="s">
        <v>20</v>
      </c>
      <c r="AA5" s="28" t="s">
        <v>10</v>
      </c>
      <c r="AB5" s="15" t="s">
        <v>18</v>
      </c>
      <c r="AC5" s="26" t="s">
        <v>18</v>
      </c>
      <c r="AD5" s="26" t="s">
        <v>17</v>
      </c>
      <c r="AE5" s="17" t="s">
        <v>237</v>
      </c>
      <c r="AF5" s="17" t="s">
        <v>17</v>
      </c>
      <c r="AG5" s="17" t="s">
        <v>17</v>
      </c>
      <c r="AH5" s="15" t="s">
        <v>18</v>
      </c>
      <c r="AL5" s="13"/>
    </row>
    <row r="6" spans="1:38" ht="15" customHeight="1" x14ac:dyDescent="0.35">
      <c r="A6" s="15">
        <v>4</v>
      </c>
      <c r="B6" s="15" t="s">
        <v>33</v>
      </c>
      <c r="C6" s="15" t="s">
        <v>34</v>
      </c>
      <c r="D6" s="15" t="s">
        <v>9</v>
      </c>
      <c r="E6" s="15" t="s">
        <v>10</v>
      </c>
      <c r="F6" s="15" t="s">
        <v>18</v>
      </c>
      <c r="G6" s="15" t="s">
        <v>35</v>
      </c>
      <c r="H6" s="15" t="s">
        <v>10</v>
      </c>
      <c r="I6" s="19" t="s">
        <v>259</v>
      </c>
      <c r="J6" s="15" t="b">
        <f>TRUE()</f>
        <v>1</v>
      </c>
      <c r="K6" s="16" t="s">
        <v>10</v>
      </c>
      <c r="L6" s="16" t="s">
        <v>13</v>
      </c>
      <c r="M6" s="19" t="s">
        <v>36</v>
      </c>
      <c r="N6" s="19" t="s">
        <v>14</v>
      </c>
      <c r="O6" s="39"/>
      <c r="P6" s="15" t="s">
        <v>14</v>
      </c>
      <c r="Q6" s="14" t="s">
        <v>18</v>
      </c>
      <c r="R6" s="15" t="s">
        <v>16</v>
      </c>
      <c r="S6" s="15" t="s">
        <v>17</v>
      </c>
      <c r="T6" s="15" t="s">
        <v>14</v>
      </c>
      <c r="U6" s="15" t="s">
        <v>26</v>
      </c>
      <c r="V6" s="15" t="s">
        <v>14</v>
      </c>
      <c r="W6" s="15" t="s">
        <v>10</v>
      </c>
      <c r="X6" s="15" t="s">
        <v>17</v>
      </c>
      <c r="Y6" s="25" t="s">
        <v>10</v>
      </c>
      <c r="Z6" s="15" t="s">
        <v>20</v>
      </c>
      <c r="AA6" s="28" t="s">
        <v>13</v>
      </c>
      <c r="AB6" s="15" t="s">
        <v>13</v>
      </c>
      <c r="AC6" s="26" t="s">
        <v>13</v>
      </c>
      <c r="AD6" s="26" t="s">
        <v>17</v>
      </c>
      <c r="AE6" s="17" t="s">
        <v>238</v>
      </c>
      <c r="AF6" s="17" t="s">
        <v>218</v>
      </c>
      <c r="AG6" s="17" t="s">
        <v>219</v>
      </c>
      <c r="AH6" s="15" t="s">
        <v>10</v>
      </c>
      <c r="AL6" s="13"/>
    </row>
    <row r="7" spans="1:38" ht="15" customHeight="1" x14ac:dyDescent="0.35">
      <c r="A7" s="15">
        <v>5</v>
      </c>
      <c r="B7" s="15" t="s">
        <v>37</v>
      </c>
      <c r="C7" s="15" t="s">
        <v>38</v>
      </c>
      <c r="D7" s="15" t="s">
        <v>10</v>
      </c>
      <c r="E7" s="15" t="s">
        <v>10</v>
      </c>
      <c r="F7" s="15" t="s">
        <v>18</v>
      </c>
      <c r="G7" s="15" t="s">
        <v>39</v>
      </c>
      <c r="H7" s="15" t="s">
        <v>10</v>
      </c>
      <c r="I7" s="19" t="s">
        <v>260</v>
      </c>
      <c r="J7" s="15" t="b">
        <f>TRUE()</f>
        <v>1</v>
      </c>
      <c r="K7" s="16" t="s">
        <v>10</v>
      </c>
      <c r="L7" s="16" t="s">
        <v>13</v>
      </c>
      <c r="M7" s="19" t="s">
        <v>43</v>
      </c>
      <c r="N7" s="19" t="s">
        <v>14</v>
      </c>
      <c r="O7" s="39"/>
      <c r="P7" s="15" t="s">
        <v>14</v>
      </c>
      <c r="Q7" s="14" t="s">
        <v>13</v>
      </c>
      <c r="R7" s="15" t="s">
        <v>40</v>
      </c>
      <c r="S7" s="15" t="s">
        <v>17</v>
      </c>
      <c r="T7" s="15" t="s">
        <v>14</v>
      </c>
      <c r="U7" s="15" t="s">
        <v>14</v>
      </c>
      <c r="V7" s="15" t="s">
        <v>14</v>
      </c>
      <c r="W7" s="15" t="s">
        <v>13</v>
      </c>
      <c r="X7" s="15" t="s">
        <v>41</v>
      </c>
      <c r="Y7" s="25" t="s">
        <v>15</v>
      </c>
      <c r="Z7" s="15" t="s">
        <v>13</v>
      </c>
      <c r="AA7" s="28" t="s">
        <v>18</v>
      </c>
      <c r="AB7" s="15" t="s">
        <v>18</v>
      </c>
      <c r="AC7" s="26" t="s">
        <v>13</v>
      </c>
      <c r="AD7" s="26" t="s">
        <v>42</v>
      </c>
      <c r="AE7" s="17" t="s">
        <v>239</v>
      </c>
      <c r="AF7" s="17" t="s">
        <v>220</v>
      </c>
      <c r="AG7" s="17" t="s">
        <v>17</v>
      </c>
      <c r="AH7" s="15" t="s">
        <v>18</v>
      </c>
      <c r="AL7" s="13"/>
    </row>
    <row r="8" spans="1:38" ht="15" customHeight="1" x14ac:dyDescent="0.35">
      <c r="A8" s="15">
        <v>6</v>
      </c>
      <c r="B8" s="15" t="s">
        <v>44</v>
      </c>
      <c r="C8" s="15" t="s">
        <v>45</v>
      </c>
      <c r="D8" s="15" t="s">
        <v>10</v>
      </c>
      <c r="E8" s="15" t="s">
        <v>10</v>
      </c>
      <c r="F8" s="15" t="s">
        <v>18</v>
      </c>
      <c r="G8" s="15" t="s">
        <v>46</v>
      </c>
      <c r="H8" s="15" t="s">
        <v>13</v>
      </c>
      <c r="I8" s="19" t="s">
        <v>261</v>
      </c>
      <c r="J8" s="15" t="s">
        <v>47</v>
      </c>
      <c r="K8" s="16" t="s">
        <v>10</v>
      </c>
      <c r="L8" s="16" t="s">
        <v>13</v>
      </c>
      <c r="M8" s="19" t="s">
        <v>51</v>
      </c>
      <c r="N8" s="19" t="s">
        <v>14</v>
      </c>
      <c r="O8" s="40"/>
      <c r="P8" s="15" t="s">
        <v>14</v>
      </c>
      <c r="Q8" s="14" t="s">
        <v>18</v>
      </c>
      <c r="R8" s="15" t="s">
        <v>48</v>
      </c>
      <c r="S8" s="15" t="s">
        <v>49</v>
      </c>
      <c r="T8" s="15" t="s">
        <v>26</v>
      </c>
      <c r="U8" s="15" t="s">
        <v>14</v>
      </c>
      <c r="V8" s="15" t="s">
        <v>14</v>
      </c>
      <c r="W8" s="15" t="s">
        <v>10</v>
      </c>
      <c r="X8" s="15" t="s">
        <v>50</v>
      </c>
      <c r="Y8" s="25" t="s">
        <v>18</v>
      </c>
      <c r="Z8" s="15" t="s">
        <v>20</v>
      </c>
      <c r="AA8" s="28" t="s">
        <v>13</v>
      </c>
      <c r="AB8" s="15" t="s">
        <v>18</v>
      </c>
      <c r="AC8" s="26" t="s">
        <v>18</v>
      </c>
      <c r="AD8" s="26" t="s">
        <v>42</v>
      </c>
      <c r="AE8" s="17" t="s">
        <v>240</v>
      </c>
      <c r="AF8" s="17" t="s">
        <v>221</v>
      </c>
      <c r="AG8" s="17" t="s">
        <v>222</v>
      </c>
      <c r="AH8" s="15" t="s">
        <v>15</v>
      </c>
      <c r="AL8" s="13"/>
    </row>
    <row r="9" spans="1:38" ht="15" customHeight="1" x14ac:dyDescent="0.35">
      <c r="A9" s="15">
        <v>7</v>
      </c>
      <c r="B9" s="15" t="s">
        <v>52</v>
      </c>
      <c r="C9" s="15" t="s">
        <v>53</v>
      </c>
      <c r="D9" s="15" t="s">
        <v>10</v>
      </c>
      <c r="E9" s="15" t="s">
        <v>10</v>
      </c>
      <c r="F9" s="15" t="s">
        <v>18</v>
      </c>
      <c r="G9" s="15" t="s">
        <v>54</v>
      </c>
      <c r="H9" s="15" t="s">
        <v>55</v>
      </c>
      <c r="I9" s="19" t="s">
        <v>262</v>
      </c>
      <c r="J9" s="15" t="b">
        <f>TRUE()</f>
        <v>1</v>
      </c>
      <c r="K9" s="16" t="s">
        <v>9</v>
      </c>
      <c r="L9" s="16" t="s">
        <v>9</v>
      </c>
      <c r="M9" s="19" t="s">
        <v>59</v>
      </c>
      <c r="N9" s="19" t="s">
        <v>9</v>
      </c>
      <c r="O9" s="15"/>
      <c r="P9" s="15" t="s">
        <v>9</v>
      </c>
      <c r="Q9" s="14" t="s">
        <v>9</v>
      </c>
      <c r="R9" s="15" t="s">
        <v>56</v>
      </c>
      <c r="S9" s="15" t="s">
        <v>19</v>
      </c>
      <c r="T9" s="15" t="s">
        <v>14</v>
      </c>
      <c r="U9" s="15" t="s">
        <v>14</v>
      </c>
      <c r="V9" s="15" t="s">
        <v>14</v>
      </c>
      <c r="W9" s="15" t="s">
        <v>9</v>
      </c>
      <c r="X9" s="15" t="s">
        <v>57</v>
      </c>
      <c r="Y9" s="25" t="s">
        <v>10</v>
      </c>
      <c r="Z9" s="15" t="s">
        <v>10</v>
      </c>
      <c r="AA9" s="28" t="s">
        <v>9</v>
      </c>
      <c r="AB9" s="15" t="s">
        <v>13</v>
      </c>
      <c r="AC9" s="26" t="s">
        <v>18</v>
      </c>
      <c r="AD9" s="26" t="s">
        <v>58</v>
      </c>
      <c r="AE9" s="17" t="s">
        <v>19</v>
      </c>
      <c r="AF9" s="17" t="s">
        <v>19</v>
      </c>
      <c r="AG9" s="17" t="s">
        <v>19</v>
      </c>
      <c r="AH9" s="15" t="s">
        <v>10</v>
      </c>
      <c r="AL9" s="13"/>
    </row>
    <row r="10" spans="1:38" ht="15" customHeight="1" x14ac:dyDescent="0.35">
      <c r="A10" s="15">
        <v>8</v>
      </c>
      <c r="B10" s="15" t="s">
        <v>60</v>
      </c>
      <c r="C10" s="15" t="s">
        <v>61</v>
      </c>
      <c r="D10" s="15" t="s">
        <v>10</v>
      </c>
      <c r="E10" s="15" t="s">
        <v>10</v>
      </c>
      <c r="F10" s="15" t="s">
        <v>18</v>
      </c>
      <c r="G10" s="15" t="s">
        <v>62</v>
      </c>
      <c r="H10" s="15" t="s">
        <v>10</v>
      </c>
      <c r="I10" s="19" t="s">
        <v>263</v>
      </c>
      <c r="J10" s="15" t="b">
        <f>FALSE()</f>
        <v>0</v>
      </c>
      <c r="K10" s="16" t="s">
        <v>10</v>
      </c>
      <c r="L10" s="16" t="s">
        <v>13</v>
      </c>
      <c r="M10" s="19" t="s">
        <v>65</v>
      </c>
      <c r="N10" s="19" t="s">
        <v>14</v>
      </c>
      <c r="O10" s="15"/>
      <c r="P10" s="15" t="s">
        <v>14</v>
      </c>
      <c r="Q10" s="14" t="s">
        <v>15</v>
      </c>
      <c r="R10" s="15" t="s">
        <v>16</v>
      </c>
      <c r="S10" s="15" t="s">
        <v>63</v>
      </c>
      <c r="T10" s="15" t="s">
        <v>26</v>
      </c>
      <c r="U10" s="15" t="s">
        <v>14</v>
      </c>
      <c r="V10" s="15" t="s">
        <v>26</v>
      </c>
      <c r="W10" s="15" t="s">
        <v>13</v>
      </c>
      <c r="X10" s="15" t="s">
        <v>64</v>
      </c>
      <c r="Y10" s="25" t="s">
        <v>15</v>
      </c>
      <c r="Z10" s="15" t="s">
        <v>20</v>
      </c>
      <c r="AA10" s="28" t="s">
        <v>15</v>
      </c>
      <c r="AB10" s="15" t="s">
        <v>18</v>
      </c>
      <c r="AC10" s="26" t="s">
        <v>13</v>
      </c>
      <c r="AD10" s="26" t="s">
        <v>17</v>
      </c>
      <c r="AE10" s="17" t="s">
        <v>241</v>
      </c>
      <c r="AF10" s="17" t="s">
        <v>17</v>
      </c>
      <c r="AG10" s="17" t="s">
        <v>17</v>
      </c>
      <c r="AH10" s="15" t="s">
        <v>13</v>
      </c>
      <c r="AL10" s="13"/>
    </row>
    <row r="11" spans="1:38" ht="15" customHeight="1" x14ac:dyDescent="0.35">
      <c r="A11" s="15">
        <v>9</v>
      </c>
      <c r="B11" s="15" t="s">
        <v>66</v>
      </c>
      <c r="C11" s="15" t="s">
        <v>17</v>
      </c>
      <c r="D11" s="15" t="s">
        <v>10</v>
      </c>
      <c r="E11" s="15" t="s">
        <v>18</v>
      </c>
      <c r="F11" s="15" t="s">
        <v>10</v>
      </c>
      <c r="G11" s="15" t="s">
        <v>67</v>
      </c>
      <c r="H11" s="15" t="s">
        <v>10</v>
      </c>
      <c r="I11" s="19" t="s">
        <v>264</v>
      </c>
      <c r="J11" s="15" t="b">
        <f>TRUE()</f>
        <v>1</v>
      </c>
      <c r="K11" s="16" t="s">
        <v>10</v>
      </c>
      <c r="L11" s="16" t="s">
        <v>13</v>
      </c>
      <c r="M11" s="19" t="s">
        <v>288</v>
      </c>
      <c r="N11" s="19" t="s">
        <v>14</v>
      </c>
      <c r="O11" s="15"/>
      <c r="P11" s="15" t="s">
        <v>14</v>
      </c>
      <c r="Q11" s="14" t="s">
        <v>18</v>
      </c>
      <c r="R11" s="15" t="s">
        <v>16</v>
      </c>
      <c r="S11" s="15" t="s">
        <v>68</v>
      </c>
      <c r="T11" s="15" t="s">
        <v>14</v>
      </c>
      <c r="U11" s="15" t="s">
        <v>14</v>
      </c>
      <c r="V11" s="15" t="s">
        <v>26</v>
      </c>
      <c r="W11" s="15" t="s">
        <v>10</v>
      </c>
      <c r="X11" s="15" t="s">
        <v>50</v>
      </c>
      <c r="Y11" s="25" t="s">
        <v>10</v>
      </c>
      <c r="Z11" s="15" t="s">
        <v>10</v>
      </c>
      <c r="AA11" s="28" t="s">
        <v>13</v>
      </c>
      <c r="AB11" s="15" t="s">
        <v>13</v>
      </c>
      <c r="AC11" s="26" t="s">
        <v>13</v>
      </c>
      <c r="AD11" s="26" t="s">
        <v>42</v>
      </c>
      <c r="AE11" s="17" t="s">
        <v>17</v>
      </c>
      <c r="AF11" s="17" t="s">
        <v>19</v>
      </c>
      <c r="AG11" s="17" t="s">
        <v>19</v>
      </c>
      <c r="AH11" s="15" t="s">
        <v>18</v>
      </c>
      <c r="AL11" s="13"/>
    </row>
    <row r="12" spans="1:38" ht="15" customHeight="1" x14ac:dyDescent="0.35">
      <c r="A12" s="15">
        <v>10</v>
      </c>
      <c r="B12" s="15" t="s">
        <v>69</v>
      </c>
      <c r="C12" s="15" t="s">
        <v>70</v>
      </c>
      <c r="D12" s="15" t="s">
        <v>13</v>
      </c>
      <c r="E12" s="15" t="s">
        <v>13</v>
      </c>
      <c r="F12" s="15" t="s">
        <v>18</v>
      </c>
      <c r="G12" s="15" t="s">
        <v>71</v>
      </c>
      <c r="H12" s="15" t="s">
        <v>10</v>
      </c>
      <c r="I12" s="19" t="s">
        <v>265</v>
      </c>
      <c r="J12" s="15" t="b">
        <f>TRUE()</f>
        <v>1</v>
      </c>
      <c r="K12" s="16" t="s">
        <v>10</v>
      </c>
      <c r="L12" s="16" t="s">
        <v>13</v>
      </c>
      <c r="M12" s="19" t="s">
        <v>76</v>
      </c>
      <c r="N12" s="19" t="s">
        <v>14</v>
      </c>
      <c r="O12" s="15"/>
      <c r="P12" s="15" t="s">
        <v>14</v>
      </c>
      <c r="Q12" s="14" t="s">
        <v>10</v>
      </c>
      <c r="R12" s="15" t="s">
        <v>72</v>
      </c>
      <c r="S12" s="15" t="s">
        <v>73</v>
      </c>
      <c r="T12" s="15" t="s">
        <v>26</v>
      </c>
      <c r="U12" s="15" t="s">
        <v>26</v>
      </c>
      <c r="V12" s="15" t="s">
        <v>26</v>
      </c>
      <c r="W12" s="15" t="s">
        <v>13</v>
      </c>
      <c r="X12" s="15" t="s">
        <v>74</v>
      </c>
      <c r="Y12" s="25" t="s">
        <v>18</v>
      </c>
      <c r="Z12" s="15" t="s">
        <v>20</v>
      </c>
      <c r="AA12" s="28" t="s">
        <v>15</v>
      </c>
      <c r="AB12" s="15" t="s">
        <v>13</v>
      </c>
      <c r="AC12" s="26" t="s">
        <v>18</v>
      </c>
      <c r="AD12" s="26" t="s">
        <v>75</v>
      </c>
      <c r="AE12" s="17" t="s">
        <v>242</v>
      </c>
      <c r="AF12" s="17" t="s">
        <v>223</v>
      </c>
      <c r="AG12" s="17" t="s">
        <v>224</v>
      </c>
      <c r="AH12" s="15" t="s">
        <v>18</v>
      </c>
      <c r="AL12" s="13"/>
    </row>
    <row r="13" spans="1:38" ht="15" customHeight="1" x14ac:dyDescent="0.35">
      <c r="A13" s="15">
        <v>11</v>
      </c>
      <c r="B13" s="15" t="s">
        <v>77</v>
      </c>
      <c r="C13" s="15" t="s">
        <v>78</v>
      </c>
      <c r="D13" s="15" t="s">
        <v>13</v>
      </c>
      <c r="E13" s="15" t="s">
        <v>10</v>
      </c>
      <c r="F13" s="15" t="s">
        <v>18</v>
      </c>
      <c r="G13" s="15" t="s">
        <v>79</v>
      </c>
      <c r="H13" s="15" t="s">
        <v>10</v>
      </c>
      <c r="I13" s="19" t="s">
        <v>266</v>
      </c>
      <c r="J13" s="15" t="b">
        <f>FALSE()</f>
        <v>0</v>
      </c>
      <c r="K13" s="16" t="s">
        <v>10</v>
      </c>
      <c r="L13" s="16" t="s">
        <v>13</v>
      </c>
      <c r="M13" s="19" t="s">
        <v>83</v>
      </c>
      <c r="N13" s="19" t="s">
        <v>14</v>
      </c>
      <c r="O13" s="15"/>
      <c r="P13" s="15" t="s">
        <v>14</v>
      </c>
      <c r="Q13" s="14" t="s">
        <v>21</v>
      </c>
      <c r="R13" s="15" t="s">
        <v>80</v>
      </c>
      <c r="S13" s="15" t="s">
        <v>17</v>
      </c>
      <c r="T13" s="15" t="s">
        <v>14</v>
      </c>
      <c r="U13" s="15" t="s">
        <v>26</v>
      </c>
      <c r="V13" s="15" t="s">
        <v>26</v>
      </c>
      <c r="W13" s="15" t="s">
        <v>18</v>
      </c>
      <c r="X13" s="15" t="s">
        <v>81</v>
      </c>
      <c r="Y13" s="25" t="s">
        <v>10</v>
      </c>
      <c r="Z13" s="15" t="s">
        <v>10</v>
      </c>
      <c r="AA13" s="28" t="s">
        <v>9</v>
      </c>
      <c r="AB13" s="15" t="s">
        <v>13</v>
      </c>
      <c r="AC13" s="26" t="s">
        <v>13</v>
      </c>
      <c r="AD13" s="26" t="s">
        <v>82</v>
      </c>
      <c r="AE13" s="17" t="s">
        <v>243</v>
      </c>
      <c r="AF13" s="17" t="s">
        <v>19</v>
      </c>
      <c r="AG13" s="17" t="s">
        <v>19</v>
      </c>
      <c r="AH13" s="15" t="s">
        <v>9</v>
      </c>
      <c r="AL13" s="13"/>
    </row>
    <row r="14" spans="1:38" ht="15" customHeight="1" x14ac:dyDescent="0.35">
      <c r="A14" s="15">
        <v>12</v>
      </c>
      <c r="B14" s="15" t="s">
        <v>84</v>
      </c>
      <c r="C14" s="15" t="s">
        <v>85</v>
      </c>
      <c r="D14" s="15" t="s">
        <v>13</v>
      </c>
      <c r="E14" s="15" t="s">
        <v>10</v>
      </c>
      <c r="F14" s="15" t="s">
        <v>18</v>
      </c>
      <c r="G14" s="15" t="s">
        <v>86</v>
      </c>
      <c r="H14" s="15" t="s">
        <v>10</v>
      </c>
      <c r="I14" s="19" t="s">
        <v>267</v>
      </c>
      <c r="J14" s="15" t="b">
        <f>TRUE()</f>
        <v>1</v>
      </c>
      <c r="K14" s="16" t="s">
        <v>9</v>
      </c>
      <c r="L14" s="16" t="s">
        <v>9</v>
      </c>
      <c r="M14" s="19" t="s">
        <v>89</v>
      </c>
      <c r="N14" s="19" t="s">
        <v>21</v>
      </c>
      <c r="O14" s="15"/>
      <c r="P14" s="15" t="s">
        <v>21</v>
      </c>
      <c r="Q14" s="14" t="s">
        <v>18</v>
      </c>
      <c r="R14" s="15" t="s">
        <v>87</v>
      </c>
      <c r="S14" s="15" t="s">
        <v>17</v>
      </c>
      <c r="T14" s="15" t="s">
        <v>14</v>
      </c>
      <c r="U14" s="15" t="s">
        <v>21</v>
      </c>
      <c r="V14" s="15" t="s">
        <v>21</v>
      </c>
      <c r="W14" s="15" t="s">
        <v>15</v>
      </c>
      <c r="X14" s="15" t="s">
        <v>17</v>
      </c>
      <c r="Y14" s="25" t="s">
        <v>15</v>
      </c>
      <c r="Z14" s="15" t="s">
        <v>10</v>
      </c>
      <c r="AA14" s="28" t="s">
        <v>9</v>
      </c>
      <c r="AB14" s="15" t="s">
        <v>13</v>
      </c>
      <c r="AC14" s="26" t="s">
        <v>13</v>
      </c>
      <c r="AD14" s="26" t="s">
        <v>88</v>
      </c>
      <c r="AE14" s="17" t="s">
        <v>244</v>
      </c>
      <c r="AF14" s="17" t="s">
        <v>17</v>
      </c>
      <c r="AG14" s="17" t="s">
        <v>17</v>
      </c>
      <c r="AH14" s="15" t="s">
        <v>10</v>
      </c>
      <c r="AL14" s="13"/>
    </row>
    <row r="15" spans="1:38" ht="15" customHeight="1" x14ac:dyDescent="0.35">
      <c r="A15" s="15">
        <v>13</v>
      </c>
      <c r="B15" s="15" t="s">
        <v>90</v>
      </c>
      <c r="C15" s="15" t="s">
        <v>91</v>
      </c>
      <c r="D15" s="15" t="s">
        <v>10</v>
      </c>
      <c r="E15" s="15" t="s">
        <v>18</v>
      </c>
      <c r="F15" s="15" t="s">
        <v>10</v>
      </c>
      <c r="G15" s="15" t="s">
        <v>92</v>
      </c>
      <c r="H15" s="15" t="s">
        <v>13</v>
      </c>
      <c r="I15" s="19" t="s">
        <v>268</v>
      </c>
      <c r="J15" s="15"/>
      <c r="K15" s="16" t="s">
        <v>10</v>
      </c>
      <c r="L15" s="16" t="s">
        <v>13</v>
      </c>
      <c r="M15" s="19" t="s">
        <v>19</v>
      </c>
      <c r="N15" s="19" t="s">
        <v>9</v>
      </c>
      <c r="O15" s="15"/>
      <c r="P15" s="15" t="s">
        <v>9</v>
      </c>
      <c r="Q15" s="14" t="s">
        <v>10</v>
      </c>
      <c r="R15" s="15" t="s">
        <v>93</v>
      </c>
      <c r="S15" s="15" t="s">
        <v>94</v>
      </c>
      <c r="T15" s="15" t="s">
        <v>14</v>
      </c>
      <c r="U15" s="15" t="s">
        <v>14</v>
      </c>
      <c r="V15" s="15" t="s">
        <v>14</v>
      </c>
      <c r="W15" s="15" t="s">
        <v>13</v>
      </c>
      <c r="X15" s="15" t="s">
        <v>19</v>
      </c>
      <c r="Y15" s="25" t="s">
        <v>18</v>
      </c>
      <c r="Z15" s="15" t="s">
        <v>13</v>
      </c>
      <c r="AA15" s="28" t="s">
        <v>13</v>
      </c>
      <c r="AB15" s="15" t="s">
        <v>18</v>
      </c>
      <c r="AC15" s="26" t="s">
        <v>13</v>
      </c>
      <c r="AD15" s="26" t="s">
        <v>19</v>
      </c>
      <c r="AE15" s="17" t="s">
        <v>19</v>
      </c>
      <c r="AF15" s="17" t="s">
        <v>19</v>
      </c>
      <c r="AG15" s="17" t="s">
        <v>19</v>
      </c>
      <c r="AH15" s="15" t="s">
        <v>10</v>
      </c>
      <c r="AL15" s="13"/>
    </row>
    <row r="16" spans="1:38" ht="15" customHeight="1" x14ac:dyDescent="0.35">
      <c r="A16" s="15">
        <v>14</v>
      </c>
      <c r="B16" s="15" t="s">
        <v>95</v>
      </c>
      <c r="C16" s="15" t="s">
        <v>96</v>
      </c>
      <c r="D16" s="15" t="s">
        <v>13</v>
      </c>
      <c r="E16" s="15" t="s">
        <v>18</v>
      </c>
      <c r="F16" s="15" t="s">
        <v>15</v>
      </c>
      <c r="G16" s="15" t="s">
        <v>19</v>
      </c>
      <c r="H16" s="15" t="s">
        <v>19</v>
      </c>
      <c r="I16" s="19" t="s">
        <v>19</v>
      </c>
      <c r="J16" s="15" t="s">
        <v>19</v>
      </c>
      <c r="K16" s="16" t="s">
        <v>13</v>
      </c>
      <c r="L16" s="16" t="s">
        <v>9</v>
      </c>
      <c r="M16" s="19" t="s">
        <v>19</v>
      </c>
      <c r="N16" s="19" t="s">
        <v>9</v>
      </c>
      <c r="O16" s="15"/>
      <c r="P16" s="15" t="s">
        <v>9</v>
      </c>
      <c r="Q16" s="14" t="s">
        <v>15</v>
      </c>
      <c r="R16" s="15" t="s">
        <v>16</v>
      </c>
      <c r="S16" s="15" t="s">
        <v>19</v>
      </c>
      <c r="T16" s="15" t="s">
        <v>14</v>
      </c>
      <c r="U16" s="15" t="s">
        <v>14</v>
      </c>
      <c r="V16" s="15" t="s">
        <v>26</v>
      </c>
      <c r="W16" s="15" t="s">
        <v>10</v>
      </c>
      <c r="X16" s="15" t="s">
        <v>19</v>
      </c>
      <c r="Y16" s="25" t="s">
        <v>15</v>
      </c>
      <c r="Z16" s="15" t="s">
        <v>20</v>
      </c>
      <c r="AA16" s="28" t="s">
        <v>13</v>
      </c>
      <c r="AB16" s="15" t="s">
        <v>13</v>
      </c>
      <c r="AC16" s="26" t="s">
        <v>13</v>
      </c>
      <c r="AD16" s="26" t="s">
        <v>19</v>
      </c>
      <c r="AE16" s="17" t="s">
        <v>19</v>
      </c>
      <c r="AF16" s="17" t="s">
        <v>19</v>
      </c>
      <c r="AG16" s="17" t="s">
        <v>19</v>
      </c>
      <c r="AH16" s="15" t="s">
        <v>18</v>
      </c>
      <c r="AL16" s="13"/>
    </row>
    <row r="17" spans="1:38" ht="15" customHeight="1" x14ac:dyDescent="0.35">
      <c r="A17" s="15">
        <v>15</v>
      </c>
      <c r="B17" s="15" t="s">
        <v>97</v>
      </c>
      <c r="C17" s="15" t="s">
        <v>97</v>
      </c>
      <c r="D17" s="15" t="s">
        <v>10</v>
      </c>
      <c r="E17" s="15" t="s">
        <v>10</v>
      </c>
      <c r="F17" s="15" t="s">
        <v>18</v>
      </c>
      <c r="G17" s="15" t="s">
        <v>98</v>
      </c>
      <c r="H17" s="15" t="s">
        <v>10</v>
      </c>
      <c r="I17" s="19" t="s">
        <v>269</v>
      </c>
      <c r="J17" s="15" t="b">
        <f>TRUE()</f>
        <v>1</v>
      </c>
      <c r="K17" s="16" t="s">
        <v>10</v>
      </c>
      <c r="L17" s="16" t="s">
        <v>13</v>
      </c>
      <c r="M17" s="19" t="s">
        <v>101</v>
      </c>
      <c r="N17" s="19" t="s">
        <v>14</v>
      </c>
      <c r="O17" s="15"/>
      <c r="P17" s="15" t="s">
        <v>14</v>
      </c>
      <c r="Q17" s="14" t="s">
        <v>15</v>
      </c>
      <c r="R17" s="15" t="s">
        <v>99</v>
      </c>
      <c r="S17" s="15" t="s">
        <v>100</v>
      </c>
      <c r="T17" s="15" t="s">
        <v>26</v>
      </c>
      <c r="U17" s="15" t="s">
        <v>14</v>
      </c>
      <c r="V17" s="15" t="s">
        <v>26</v>
      </c>
      <c r="W17" s="15" t="s">
        <v>10</v>
      </c>
      <c r="X17" s="15" t="s">
        <v>19</v>
      </c>
      <c r="Y17" s="25" t="s">
        <v>10</v>
      </c>
      <c r="Z17" s="15" t="s">
        <v>20</v>
      </c>
      <c r="AA17" s="28" t="s">
        <v>13</v>
      </c>
      <c r="AB17" s="15" t="s">
        <v>13</v>
      </c>
      <c r="AC17" s="26" t="s">
        <v>18</v>
      </c>
      <c r="AD17" s="26" t="s">
        <v>19</v>
      </c>
      <c r="AE17" s="17" t="s">
        <v>19</v>
      </c>
      <c r="AF17" s="17" t="s">
        <v>19</v>
      </c>
      <c r="AG17" s="17" t="s">
        <v>19</v>
      </c>
      <c r="AH17" s="15" t="s">
        <v>18</v>
      </c>
      <c r="AL17" s="13"/>
    </row>
    <row r="18" spans="1:38" ht="15" customHeight="1" x14ac:dyDescent="0.35">
      <c r="A18" s="15">
        <v>16</v>
      </c>
      <c r="B18" s="15" t="s">
        <v>102</v>
      </c>
      <c r="C18" s="15" t="s">
        <v>103</v>
      </c>
      <c r="D18" s="15" t="s">
        <v>10</v>
      </c>
      <c r="E18" s="15" t="s">
        <v>13</v>
      </c>
      <c r="F18" s="15" t="s">
        <v>18</v>
      </c>
      <c r="G18" s="15" t="s">
        <v>104</v>
      </c>
      <c r="H18" s="15" t="s">
        <v>10</v>
      </c>
      <c r="I18" s="19" t="s">
        <v>270</v>
      </c>
      <c r="J18" s="15" t="b">
        <f>TRUE()</f>
        <v>1</v>
      </c>
      <c r="K18" s="16" t="s">
        <v>9</v>
      </c>
      <c r="L18" s="16" t="s">
        <v>9</v>
      </c>
      <c r="M18" s="19" t="s">
        <v>17</v>
      </c>
      <c r="N18" s="19" t="s">
        <v>14</v>
      </c>
      <c r="O18" s="15"/>
      <c r="P18" s="15" t="s">
        <v>14</v>
      </c>
      <c r="Q18" s="14" t="s">
        <v>15</v>
      </c>
      <c r="R18" s="15" t="s">
        <v>16</v>
      </c>
      <c r="S18" s="15" t="s">
        <v>17</v>
      </c>
      <c r="T18" s="15" t="s">
        <v>14</v>
      </c>
      <c r="U18" s="15" t="s">
        <v>26</v>
      </c>
      <c r="V18" s="15" t="s">
        <v>26</v>
      </c>
      <c r="W18" s="15" t="s">
        <v>15</v>
      </c>
      <c r="X18" s="15" t="s">
        <v>50</v>
      </c>
      <c r="Y18" s="25" t="s">
        <v>10</v>
      </c>
      <c r="Z18" s="15" t="s">
        <v>20</v>
      </c>
      <c r="AA18" s="28" t="s">
        <v>13</v>
      </c>
      <c r="AB18" s="15" t="s">
        <v>13</v>
      </c>
      <c r="AC18" s="26" t="s">
        <v>13</v>
      </c>
      <c r="AD18" s="26"/>
      <c r="AE18" s="17" t="s">
        <v>19</v>
      </c>
      <c r="AF18" s="17" t="s">
        <v>19</v>
      </c>
      <c r="AG18" s="17" t="s">
        <v>19</v>
      </c>
      <c r="AH18" s="15" t="s">
        <v>13</v>
      </c>
      <c r="AL18" s="13"/>
    </row>
    <row r="19" spans="1:38" ht="15" customHeight="1" x14ac:dyDescent="0.35">
      <c r="A19" s="15">
        <v>17</v>
      </c>
      <c r="B19" s="15" t="s">
        <v>105</v>
      </c>
      <c r="C19" s="15" t="s">
        <v>106</v>
      </c>
      <c r="D19" s="15" t="s">
        <v>10</v>
      </c>
      <c r="E19" s="15" t="s">
        <v>10</v>
      </c>
      <c r="F19" s="15" t="s">
        <v>18</v>
      </c>
      <c r="G19" s="15" t="s">
        <v>107</v>
      </c>
      <c r="H19" s="15" t="s">
        <v>108</v>
      </c>
      <c r="I19" s="19" t="s">
        <v>271</v>
      </c>
      <c r="J19" s="15" t="s">
        <v>47</v>
      </c>
      <c r="K19" s="16" t="s">
        <v>10</v>
      </c>
      <c r="L19" s="16" t="s">
        <v>13</v>
      </c>
      <c r="M19" s="19" t="s">
        <v>111</v>
      </c>
      <c r="N19" s="19" t="s">
        <v>14</v>
      </c>
      <c r="O19" s="15"/>
      <c r="P19" s="15" t="s">
        <v>14</v>
      </c>
      <c r="Q19" s="14" t="s">
        <v>18</v>
      </c>
      <c r="R19" s="15" t="s">
        <v>109</v>
      </c>
      <c r="S19" s="15" t="s">
        <v>17</v>
      </c>
      <c r="T19" s="15" t="s">
        <v>26</v>
      </c>
      <c r="U19" s="15" t="s">
        <v>26</v>
      </c>
      <c r="V19" s="15" t="s">
        <v>14</v>
      </c>
      <c r="W19" s="15" t="s">
        <v>21</v>
      </c>
      <c r="X19" s="15" t="s">
        <v>17</v>
      </c>
      <c r="Y19" s="25" t="s">
        <v>15</v>
      </c>
      <c r="Z19" s="15" t="s">
        <v>20</v>
      </c>
      <c r="AA19" s="28" t="s">
        <v>21</v>
      </c>
      <c r="AB19" s="15" t="s">
        <v>13</v>
      </c>
      <c r="AC19" s="26" t="s">
        <v>10</v>
      </c>
      <c r="AD19" s="26" t="s">
        <v>110</v>
      </c>
      <c r="AE19" s="17" t="s">
        <v>17</v>
      </c>
      <c r="AF19" s="17" t="s">
        <v>17</v>
      </c>
      <c r="AG19" s="17" t="s">
        <v>17</v>
      </c>
      <c r="AH19" s="15" t="s">
        <v>21</v>
      </c>
      <c r="AL19" s="13"/>
    </row>
    <row r="20" spans="1:38" ht="15" customHeight="1" x14ac:dyDescent="0.35">
      <c r="A20" s="15">
        <v>18</v>
      </c>
      <c r="B20" s="15" t="s">
        <v>112</v>
      </c>
      <c r="C20" s="15" t="s">
        <v>113</v>
      </c>
      <c r="D20" s="15" t="s">
        <v>10</v>
      </c>
      <c r="E20" s="15" t="s">
        <v>13</v>
      </c>
      <c r="F20" s="15" t="s">
        <v>18</v>
      </c>
      <c r="G20" s="15" t="s">
        <v>114</v>
      </c>
      <c r="H20" s="15" t="s">
        <v>10</v>
      </c>
      <c r="I20" s="19" t="s">
        <v>272</v>
      </c>
      <c r="J20" s="15" t="b">
        <f>TRUE()</f>
        <v>1</v>
      </c>
      <c r="K20" s="16" t="s">
        <v>13</v>
      </c>
      <c r="L20" s="16" t="s">
        <v>10</v>
      </c>
      <c r="M20" s="19" t="s">
        <v>116</v>
      </c>
      <c r="N20" s="19" t="s">
        <v>14</v>
      </c>
      <c r="O20" s="15"/>
      <c r="P20" s="15" t="s">
        <v>14</v>
      </c>
      <c r="Q20" s="14" t="s">
        <v>9</v>
      </c>
      <c r="R20" s="15" t="s">
        <v>16</v>
      </c>
      <c r="S20" s="15" t="s">
        <v>115</v>
      </c>
      <c r="T20" s="15" t="s">
        <v>9</v>
      </c>
      <c r="U20" s="15" t="s">
        <v>9</v>
      </c>
      <c r="V20" s="15" t="s">
        <v>9</v>
      </c>
      <c r="W20" s="15" t="s">
        <v>9</v>
      </c>
      <c r="X20" s="15" t="s">
        <v>19</v>
      </c>
      <c r="Y20" s="25" t="s">
        <v>9</v>
      </c>
      <c r="Z20" s="15" t="s">
        <v>9</v>
      </c>
      <c r="AA20" s="28" t="s">
        <v>9</v>
      </c>
      <c r="AB20" s="15" t="s">
        <v>9</v>
      </c>
      <c r="AC20" s="26" t="s">
        <v>9</v>
      </c>
      <c r="AD20" s="26" t="s">
        <v>19</v>
      </c>
      <c r="AE20" s="17" t="s">
        <v>19</v>
      </c>
      <c r="AF20" s="17" t="s">
        <v>19</v>
      </c>
      <c r="AG20" s="17" t="s">
        <v>19</v>
      </c>
      <c r="AH20" s="15" t="s">
        <v>9</v>
      </c>
      <c r="AL20" s="13"/>
    </row>
    <row r="21" spans="1:38" ht="15" customHeight="1" x14ac:dyDescent="0.35">
      <c r="A21" s="15">
        <v>19</v>
      </c>
      <c r="B21" s="15" t="s">
        <v>117</v>
      </c>
      <c r="C21" s="15" t="s">
        <v>118</v>
      </c>
      <c r="D21" s="15" t="s">
        <v>9</v>
      </c>
      <c r="E21" s="15" t="s">
        <v>10</v>
      </c>
      <c r="F21" s="15" t="s">
        <v>18</v>
      </c>
      <c r="G21" s="15" t="s">
        <v>119</v>
      </c>
      <c r="H21" s="15" t="s">
        <v>13</v>
      </c>
      <c r="I21" s="19" t="s">
        <v>273</v>
      </c>
      <c r="J21" s="15" t="b">
        <f>TRUE()</f>
        <v>1</v>
      </c>
      <c r="K21" s="16" t="s">
        <v>10</v>
      </c>
      <c r="L21" s="16" t="s">
        <v>13</v>
      </c>
      <c r="M21" s="19" t="s">
        <v>122</v>
      </c>
      <c r="N21" s="19" t="s">
        <v>14</v>
      </c>
      <c r="O21" s="15"/>
      <c r="P21" s="15" t="s">
        <v>14</v>
      </c>
      <c r="Q21" s="14" t="s">
        <v>10</v>
      </c>
      <c r="R21" s="15" t="s">
        <v>16</v>
      </c>
      <c r="S21" s="15" t="s">
        <v>120</v>
      </c>
      <c r="T21" s="15" t="s">
        <v>14</v>
      </c>
      <c r="U21" s="15" t="s">
        <v>14</v>
      </c>
      <c r="V21" s="15" t="s">
        <v>14</v>
      </c>
      <c r="W21" s="15" t="s">
        <v>15</v>
      </c>
      <c r="X21" s="15" t="s">
        <v>121</v>
      </c>
      <c r="Y21" s="25" t="s">
        <v>10</v>
      </c>
      <c r="Z21" s="15" t="s">
        <v>20</v>
      </c>
      <c r="AA21" s="28" t="s">
        <v>20</v>
      </c>
      <c r="AB21" s="15" t="s">
        <v>10</v>
      </c>
      <c r="AC21" s="26" t="s">
        <v>18</v>
      </c>
      <c r="AD21" s="26" t="s">
        <v>17</v>
      </c>
      <c r="AE21" s="17" t="s">
        <v>245</v>
      </c>
      <c r="AF21" s="17" t="s">
        <v>110</v>
      </c>
      <c r="AG21" s="17" t="s">
        <v>110</v>
      </c>
      <c r="AH21" s="15" t="s">
        <v>10</v>
      </c>
      <c r="AL21" s="13"/>
    </row>
    <row r="22" spans="1:38" ht="15" customHeight="1" x14ac:dyDescent="0.35">
      <c r="A22" s="15">
        <v>20</v>
      </c>
      <c r="B22" s="15" t="s">
        <v>17</v>
      </c>
      <c r="C22" s="15" t="s">
        <v>17</v>
      </c>
      <c r="D22" s="15" t="s">
        <v>13</v>
      </c>
      <c r="E22" s="15" t="s">
        <v>13</v>
      </c>
      <c r="F22" s="15" t="s">
        <v>15</v>
      </c>
      <c r="G22" s="15" t="s">
        <v>123</v>
      </c>
      <c r="H22" s="15" t="s">
        <v>10</v>
      </c>
      <c r="I22" s="19" t="s">
        <v>274</v>
      </c>
      <c r="J22" s="15" t="b">
        <f>TRUE()</f>
        <v>1</v>
      </c>
      <c r="K22" s="16" t="s">
        <v>21</v>
      </c>
      <c r="L22" s="16" t="s">
        <v>21</v>
      </c>
      <c r="M22" s="19" t="s">
        <v>19</v>
      </c>
      <c r="N22" s="19" t="s">
        <v>14</v>
      </c>
      <c r="O22" s="15"/>
      <c r="P22" s="15" t="s">
        <v>14</v>
      </c>
      <c r="Q22" s="14" t="s">
        <v>18</v>
      </c>
      <c r="R22" s="15" t="s">
        <v>16</v>
      </c>
      <c r="S22" s="15" t="s">
        <v>17</v>
      </c>
      <c r="T22" s="15" t="s">
        <v>26</v>
      </c>
      <c r="U22" s="15" t="s">
        <v>14</v>
      </c>
      <c r="V22" s="15" t="s">
        <v>26</v>
      </c>
      <c r="W22" s="15" t="s">
        <v>10</v>
      </c>
      <c r="X22" s="15" t="s">
        <v>17</v>
      </c>
      <c r="Y22" s="25" t="s">
        <v>13</v>
      </c>
      <c r="Z22" s="15" t="s">
        <v>13</v>
      </c>
      <c r="AA22" s="28" t="s">
        <v>10</v>
      </c>
      <c r="AB22" s="15" t="s">
        <v>18</v>
      </c>
      <c r="AC22" s="26" t="s">
        <v>13</v>
      </c>
      <c r="AD22" s="26" t="s">
        <v>17</v>
      </c>
      <c r="AE22" s="17" t="s">
        <v>246</v>
      </c>
      <c r="AF22" s="17" t="s">
        <v>17</v>
      </c>
      <c r="AG22" s="17" t="s">
        <v>17</v>
      </c>
      <c r="AH22" s="15" t="s">
        <v>15</v>
      </c>
      <c r="AL22" s="13"/>
    </row>
    <row r="23" spans="1:38" ht="15" customHeight="1" x14ac:dyDescent="0.35">
      <c r="A23" s="15">
        <v>21</v>
      </c>
      <c r="B23" s="15" t="s">
        <v>124</v>
      </c>
      <c r="C23" s="15" t="s">
        <v>125</v>
      </c>
      <c r="D23" s="15" t="s">
        <v>13</v>
      </c>
      <c r="E23" s="15" t="s">
        <v>13</v>
      </c>
      <c r="F23" s="15" t="s">
        <v>18</v>
      </c>
      <c r="G23" s="15" t="s">
        <v>126</v>
      </c>
      <c r="H23" s="15" t="s">
        <v>10</v>
      </c>
      <c r="I23" s="19" t="s">
        <v>275</v>
      </c>
      <c r="J23" s="15" t="b">
        <f>TRUE()</f>
        <v>1</v>
      </c>
      <c r="K23" s="16" t="s">
        <v>10</v>
      </c>
      <c r="L23" s="16" t="s">
        <v>13</v>
      </c>
      <c r="M23" s="19" t="s">
        <v>131</v>
      </c>
      <c r="N23" s="19" t="s">
        <v>14</v>
      </c>
      <c r="O23" s="15"/>
      <c r="P23" s="15" t="s">
        <v>14</v>
      </c>
      <c r="Q23" s="14" t="s">
        <v>15</v>
      </c>
      <c r="R23" s="15" t="s">
        <v>127</v>
      </c>
      <c r="S23" s="15" t="s">
        <v>128</v>
      </c>
      <c r="T23" s="15" t="s">
        <v>26</v>
      </c>
      <c r="U23" s="15" t="s">
        <v>14</v>
      </c>
      <c r="V23" s="15" t="s">
        <v>14</v>
      </c>
      <c r="W23" s="15" t="s">
        <v>20</v>
      </c>
      <c r="X23" s="15" t="s">
        <v>129</v>
      </c>
      <c r="Y23" s="25" t="s">
        <v>15</v>
      </c>
      <c r="Z23" s="15" t="s">
        <v>20</v>
      </c>
      <c r="AA23" s="28" t="s">
        <v>15</v>
      </c>
      <c r="AB23" s="15" t="s">
        <v>13</v>
      </c>
      <c r="AC23" s="26" t="s">
        <v>13</v>
      </c>
      <c r="AD23" s="26" t="s">
        <v>42</v>
      </c>
      <c r="AE23" s="18" t="s">
        <v>247</v>
      </c>
      <c r="AF23" s="18" t="s">
        <v>225</v>
      </c>
      <c r="AG23" s="18" t="s">
        <v>226</v>
      </c>
      <c r="AH23" s="15" t="s">
        <v>13</v>
      </c>
      <c r="AL23" s="13"/>
    </row>
    <row r="24" spans="1:38" ht="15" customHeight="1" x14ac:dyDescent="0.35">
      <c r="A24" s="15">
        <v>22</v>
      </c>
      <c r="B24" s="15" t="s">
        <v>132</v>
      </c>
      <c r="C24" s="15" t="s">
        <v>133</v>
      </c>
      <c r="D24" s="15" t="s">
        <v>13</v>
      </c>
      <c r="E24" s="15" t="s">
        <v>9</v>
      </c>
      <c r="F24" s="15" t="s">
        <v>18</v>
      </c>
      <c r="G24" s="15" t="s">
        <v>134</v>
      </c>
      <c r="H24" s="15" t="s">
        <v>10</v>
      </c>
      <c r="I24" s="41" t="s">
        <v>294</v>
      </c>
      <c r="J24" s="15" t="b">
        <f>FALSE()</f>
        <v>0</v>
      </c>
      <c r="K24" s="16" t="s">
        <v>10</v>
      </c>
      <c r="L24" s="16" t="s">
        <v>13</v>
      </c>
      <c r="M24" s="19" t="s">
        <v>19</v>
      </c>
      <c r="N24" s="19" t="s">
        <v>14</v>
      </c>
      <c r="O24" s="15"/>
      <c r="P24" s="15" t="s">
        <v>14</v>
      </c>
      <c r="Q24" s="14" t="s">
        <v>13</v>
      </c>
      <c r="R24" s="15" t="s">
        <v>16</v>
      </c>
      <c r="S24" s="15" t="s">
        <v>17</v>
      </c>
      <c r="T24" s="15" t="s">
        <v>14</v>
      </c>
      <c r="U24" s="15" t="s">
        <v>14</v>
      </c>
      <c r="V24" s="15" t="s">
        <v>14</v>
      </c>
      <c r="W24" s="15" t="s">
        <v>18</v>
      </c>
      <c r="X24" s="15" t="s">
        <v>19</v>
      </c>
      <c r="Y24" s="25" t="s">
        <v>15</v>
      </c>
      <c r="Z24" s="15" t="s">
        <v>20</v>
      </c>
      <c r="AA24" s="28" t="s">
        <v>13</v>
      </c>
      <c r="AB24" s="15" t="s">
        <v>13</v>
      </c>
      <c r="AC24" s="26" t="s">
        <v>13</v>
      </c>
      <c r="AD24" s="26" t="s">
        <v>19</v>
      </c>
      <c r="AE24" s="17" t="s">
        <v>19</v>
      </c>
      <c r="AF24" s="17" t="s">
        <v>19</v>
      </c>
      <c r="AG24" s="17" t="s">
        <v>19</v>
      </c>
      <c r="AH24" s="15" t="s">
        <v>10</v>
      </c>
      <c r="AL24" s="13"/>
    </row>
    <row r="25" spans="1:38" ht="15" customHeight="1" x14ac:dyDescent="0.35">
      <c r="A25" s="15">
        <v>23</v>
      </c>
      <c r="B25" s="15" t="s">
        <v>135</v>
      </c>
      <c r="C25" s="15" t="s">
        <v>136</v>
      </c>
      <c r="D25" s="15" t="s">
        <v>13</v>
      </c>
      <c r="E25" s="15" t="s">
        <v>10</v>
      </c>
      <c r="F25" s="15" t="s">
        <v>18</v>
      </c>
      <c r="G25" s="15" t="s">
        <v>137</v>
      </c>
      <c r="H25" s="15" t="s">
        <v>10</v>
      </c>
      <c r="I25" s="19" t="s">
        <v>276</v>
      </c>
      <c r="J25" s="15" t="b">
        <f>TRUE()</f>
        <v>1</v>
      </c>
      <c r="K25" s="16" t="s">
        <v>10</v>
      </c>
      <c r="L25" s="16" t="s">
        <v>13</v>
      </c>
      <c r="M25" s="19" t="s">
        <v>142</v>
      </c>
      <c r="N25" s="19" t="s">
        <v>14</v>
      </c>
      <c r="O25" s="15"/>
      <c r="P25" s="15" t="s">
        <v>14</v>
      </c>
      <c r="Q25" s="14" t="s">
        <v>15</v>
      </c>
      <c r="R25" s="15" t="s">
        <v>138</v>
      </c>
      <c r="S25" s="15" t="s">
        <v>139</v>
      </c>
      <c r="T25" s="15" t="s">
        <v>26</v>
      </c>
      <c r="U25" s="15" t="s">
        <v>26</v>
      </c>
      <c r="V25" s="15" t="s">
        <v>26</v>
      </c>
      <c r="W25" s="15" t="s">
        <v>10</v>
      </c>
      <c r="X25" s="15" t="s">
        <v>140</v>
      </c>
      <c r="Y25" s="25" t="s">
        <v>15</v>
      </c>
      <c r="Z25" s="15" t="s">
        <v>20</v>
      </c>
      <c r="AA25" s="28" t="s">
        <v>18</v>
      </c>
      <c r="AB25" s="15" t="s">
        <v>10</v>
      </c>
      <c r="AC25" s="26" t="s">
        <v>21</v>
      </c>
      <c r="AD25" s="26" t="s">
        <v>141</v>
      </c>
      <c r="AE25" s="17" t="s">
        <v>248</v>
      </c>
      <c r="AF25" s="17" t="s">
        <v>227</v>
      </c>
      <c r="AG25" s="17" t="s">
        <v>19</v>
      </c>
      <c r="AH25" s="15" t="s">
        <v>13</v>
      </c>
      <c r="AL25" s="13"/>
    </row>
    <row r="26" spans="1:38" ht="15" customHeight="1" x14ac:dyDescent="0.35">
      <c r="A26" s="15">
        <v>24</v>
      </c>
      <c r="B26" s="15" t="s">
        <v>143</v>
      </c>
      <c r="C26" s="15" t="s">
        <v>144</v>
      </c>
      <c r="D26" s="15" t="s">
        <v>10</v>
      </c>
      <c r="E26" s="15" t="s">
        <v>10</v>
      </c>
      <c r="F26" s="15" t="s">
        <v>18</v>
      </c>
      <c r="G26" s="15" t="s">
        <v>145</v>
      </c>
      <c r="H26" s="15" t="s">
        <v>10</v>
      </c>
      <c r="I26" s="19" t="s">
        <v>295</v>
      </c>
      <c r="J26" s="15" t="b">
        <f>TRUE()</f>
        <v>1</v>
      </c>
      <c r="K26" s="16" t="s">
        <v>13</v>
      </c>
      <c r="L26" s="16" t="s">
        <v>10</v>
      </c>
      <c r="M26" s="19" t="s">
        <v>147</v>
      </c>
      <c r="N26" s="19" t="s">
        <v>14</v>
      </c>
      <c r="O26" s="15"/>
      <c r="P26" s="15" t="s">
        <v>14</v>
      </c>
      <c r="Q26" s="14" t="s">
        <v>18</v>
      </c>
      <c r="R26" s="15" t="s">
        <v>146</v>
      </c>
      <c r="S26" s="15" t="s">
        <v>17</v>
      </c>
      <c r="T26" s="15" t="s">
        <v>26</v>
      </c>
      <c r="U26" s="15" t="s">
        <v>14</v>
      </c>
      <c r="V26" s="15" t="s">
        <v>21</v>
      </c>
      <c r="W26" s="15" t="s">
        <v>13</v>
      </c>
      <c r="X26" s="15" t="s">
        <v>17</v>
      </c>
      <c r="Y26" s="25" t="s">
        <v>15</v>
      </c>
      <c r="Z26" s="15" t="s">
        <v>21</v>
      </c>
      <c r="AA26" s="28" t="s">
        <v>21</v>
      </c>
      <c r="AB26" s="15" t="s">
        <v>21</v>
      </c>
      <c r="AC26" s="26" t="s">
        <v>18</v>
      </c>
      <c r="AD26" s="26" t="s">
        <v>17</v>
      </c>
      <c r="AE26" s="17" t="s">
        <v>249</v>
      </c>
      <c r="AF26" s="17" t="s">
        <v>228</v>
      </c>
      <c r="AG26" s="17" t="s">
        <v>17</v>
      </c>
      <c r="AH26" s="15" t="s">
        <v>18</v>
      </c>
      <c r="AL26" s="13"/>
    </row>
    <row r="27" spans="1:38" ht="15" customHeight="1" x14ac:dyDescent="0.35">
      <c r="A27" s="15">
        <v>25</v>
      </c>
      <c r="B27" s="15" t="s">
        <v>148</v>
      </c>
      <c r="C27" s="15" t="s">
        <v>149</v>
      </c>
      <c r="D27" s="15" t="s">
        <v>10</v>
      </c>
      <c r="E27" s="15" t="s">
        <v>13</v>
      </c>
      <c r="F27" s="15" t="s">
        <v>18</v>
      </c>
      <c r="G27" s="15" t="s">
        <v>150</v>
      </c>
      <c r="H27" s="15" t="s">
        <v>10</v>
      </c>
      <c r="I27" s="19" t="s">
        <v>277</v>
      </c>
      <c r="J27" s="15" t="b">
        <f>FALSE()</f>
        <v>0</v>
      </c>
      <c r="K27" s="16" t="s">
        <v>10</v>
      </c>
      <c r="L27" s="16" t="s">
        <v>13</v>
      </c>
      <c r="M27" s="19" t="s">
        <v>155</v>
      </c>
      <c r="N27" s="19" t="s">
        <v>14</v>
      </c>
      <c r="O27" s="15"/>
      <c r="P27" s="15" t="s">
        <v>14</v>
      </c>
      <c r="Q27" s="14" t="s">
        <v>18</v>
      </c>
      <c r="R27" s="15" t="s">
        <v>151</v>
      </c>
      <c r="S27" s="15" t="s">
        <v>152</v>
      </c>
      <c r="T27" s="15" t="s">
        <v>14</v>
      </c>
      <c r="U27" s="15" t="s">
        <v>14</v>
      </c>
      <c r="V27" s="15" t="s">
        <v>26</v>
      </c>
      <c r="W27" s="15" t="s">
        <v>13</v>
      </c>
      <c r="X27" s="15" t="s">
        <v>153</v>
      </c>
      <c r="Y27" s="25" t="s">
        <v>15</v>
      </c>
      <c r="Z27" s="15" t="s">
        <v>20</v>
      </c>
      <c r="AA27" s="28" t="s">
        <v>18</v>
      </c>
      <c r="AB27" s="15" t="s">
        <v>18</v>
      </c>
      <c r="AC27" s="26" t="s">
        <v>13</v>
      </c>
      <c r="AD27" s="26" t="s">
        <v>154</v>
      </c>
      <c r="AE27" s="17" t="s">
        <v>250</v>
      </c>
      <c r="AF27" s="17" t="s">
        <v>19</v>
      </c>
      <c r="AG27" s="17" t="s">
        <v>19</v>
      </c>
      <c r="AH27" s="15" t="s">
        <v>15</v>
      </c>
      <c r="AL27" s="13"/>
    </row>
    <row r="28" spans="1:38" ht="15" customHeight="1" x14ac:dyDescent="0.35">
      <c r="A28" s="15">
        <v>26</v>
      </c>
      <c r="B28" s="15" t="s">
        <v>156</v>
      </c>
      <c r="C28" s="15" t="s">
        <v>157</v>
      </c>
      <c r="D28" s="15" t="s">
        <v>10</v>
      </c>
      <c r="E28" s="15" t="s">
        <v>18</v>
      </c>
      <c r="F28" s="15" t="s">
        <v>18</v>
      </c>
      <c r="G28" s="15" t="s">
        <v>158</v>
      </c>
      <c r="H28" s="15" t="s">
        <v>10</v>
      </c>
      <c r="I28" s="19" t="s">
        <v>278</v>
      </c>
      <c r="J28" s="15" t="b">
        <f>TRUE()</f>
        <v>1</v>
      </c>
      <c r="K28" s="16" t="s">
        <v>10</v>
      </c>
      <c r="L28" s="16" t="s">
        <v>13</v>
      </c>
      <c r="M28" s="19" t="s">
        <v>163</v>
      </c>
      <c r="N28" s="19" t="s">
        <v>26</v>
      </c>
      <c r="O28" s="15"/>
      <c r="P28" s="15" t="s">
        <v>26</v>
      </c>
      <c r="Q28" s="14" t="s">
        <v>21</v>
      </c>
      <c r="R28" s="15" t="s">
        <v>159</v>
      </c>
      <c r="S28" s="15" t="s">
        <v>160</v>
      </c>
      <c r="T28" s="15" t="s">
        <v>26</v>
      </c>
      <c r="U28" s="15" t="s">
        <v>14</v>
      </c>
      <c r="V28" s="15" t="s">
        <v>26</v>
      </c>
      <c r="W28" s="15" t="s">
        <v>15</v>
      </c>
      <c r="X28" s="15" t="s">
        <v>161</v>
      </c>
      <c r="Y28" s="25" t="s">
        <v>18</v>
      </c>
      <c r="Z28" s="15" t="s">
        <v>20</v>
      </c>
      <c r="AA28" s="28" t="s">
        <v>21</v>
      </c>
      <c r="AB28" s="15" t="s">
        <v>15</v>
      </c>
      <c r="AC28" s="26" t="s">
        <v>13</v>
      </c>
      <c r="AD28" s="26" t="s">
        <v>162</v>
      </c>
      <c r="AE28" s="17" t="s">
        <v>251</v>
      </c>
      <c r="AF28" s="17" t="s">
        <v>229</v>
      </c>
      <c r="AG28" s="17" t="s">
        <v>230</v>
      </c>
      <c r="AH28" s="15" t="s">
        <v>13</v>
      </c>
      <c r="AL28" s="13"/>
    </row>
    <row r="29" spans="1:38" ht="15" customHeight="1" x14ac:dyDescent="0.35">
      <c r="A29" s="15">
        <v>27</v>
      </c>
      <c r="B29" s="15" t="s">
        <v>164</v>
      </c>
      <c r="C29" s="15" t="s">
        <v>165</v>
      </c>
      <c r="D29" s="15" t="s">
        <v>10</v>
      </c>
      <c r="E29" s="15" t="s">
        <v>10</v>
      </c>
      <c r="F29" s="15" t="s">
        <v>18</v>
      </c>
      <c r="G29" s="15" t="s">
        <v>166</v>
      </c>
      <c r="H29" s="15" t="s">
        <v>10</v>
      </c>
      <c r="I29" s="19" t="s">
        <v>279</v>
      </c>
      <c r="J29" s="15" t="b">
        <f>TRUE()</f>
        <v>1</v>
      </c>
      <c r="K29" s="16" t="s">
        <v>10</v>
      </c>
      <c r="L29" s="16" t="s">
        <v>13</v>
      </c>
      <c r="M29" s="19" t="s">
        <v>19</v>
      </c>
      <c r="N29" s="19" t="s">
        <v>14</v>
      </c>
      <c r="O29" s="15"/>
      <c r="P29" s="15" t="s">
        <v>14</v>
      </c>
      <c r="Q29" s="14" t="s">
        <v>9</v>
      </c>
      <c r="R29" s="15" t="s">
        <v>167</v>
      </c>
      <c r="S29" s="15" t="s">
        <v>168</v>
      </c>
      <c r="T29" s="15" t="s">
        <v>14</v>
      </c>
      <c r="U29" s="15" t="s">
        <v>14</v>
      </c>
      <c r="V29" s="15" t="s">
        <v>14</v>
      </c>
      <c r="W29" s="15" t="s">
        <v>15</v>
      </c>
      <c r="X29" s="15" t="s">
        <v>17</v>
      </c>
      <c r="Y29" s="25" t="s">
        <v>10</v>
      </c>
      <c r="Z29" s="15" t="s">
        <v>20</v>
      </c>
      <c r="AA29" s="28" t="s">
        <v>9</v>
      </c>
      <c r="AB29" s="15" t="s">
        <v>15</v>
      </c>
      <c r="AC29" s="26" t="s">
        <v>10</v>
      </c>
      <c r="AD29" s="26" t="s">
        <v>17</v>
      </c>
      <c r="AE29" s="17" t="s">
        <v>19</v>
      </c>
      <c r="AF29" s="17" t="s">
        <v>19</v>
      </c>
      <c r="AG29" s="17" t="s">
        <v>19</v>
      </c>
      <c r="AH29" s="15" t="s">
        <v>18</v>
      </c>
      <c r="AL29" s="13"/>
    </row>
    <row r="30" spans="1:38" ht="15" customHeight="1" x14ac:dyDescent="0.35">
      <c r="A30" s="15">
        <v>28</v>
      </c>
      <c r="B30" s="15" t="s">
        <v>97</v>
      </c>
      <c r="C30" s="15" t="s">
        <v>97</v>
      </c>
      <c r="D30" s="15" t="s">
        <v>13</v>
      </c>
      <c r="E30" s="15" t="s">
        <v>10</v>
      </c>
      <c r="F30" s="15" t="s">
        <v>18</v>
      </c>
      <c r="G30" s="15" t="s">
        <v>169</v>
      </c>
      <c r="H30" s="15" t="s">
        <v>10</v>
      </c>
      <c r="I30" s="19" t="s">
        <v>280</v>
      </c>
      <c r="J30" s="15" t="b">
        <f>TRUE()</f>
        <v>1</v>
      </c>
      <c r="K30" s="16" t="s">
        <v>13</v>
      </c>
      <c r="L30" s="16" t="s">
        <v>10</v>
      </c>
      <c r="M30" s="19" t="s">
        <v>174</v>
      </c>
      <c r="N30" s="19" t="s">
        <v>26</v>
      </c>
      <c r="O30" s="15"/>
      <c r="P30" s="15" t="s">
        <v>26</v>
      </c>
      <c r="Q30" s="14" t="s">
        <v>15</v>
      </c>
      <c r="R30" s="15" t="s">
        <v>170</v>
      </c>
      <c r="S30" s="15" t="s">
        <v>171</v>
      </c>
      <c r="T30" s="15" t="s">
        <v>14</v>
      </c>
      <c r="U30" s="15" t="s">
        <v>26</v>
      </c>
      <c r="V30" s="15" t="s">
        <v>14</v>
      </c>
      <c r="W30" s="15" t="s">
        <v>15</v>
      </c>
      <c r="X30" s="15" t="s">
        <v>172</v>
      </c>
      <c r="Y30" s="25" t="s">
        <v>15</v>
      </c>
      <c r="Z30" s="15" t="s">
        <v>20</v>
      </c>
      <c r="AA30" s="28" t="s">
        <v>18</v>
      </c>
      <c r="AB30" s="15" t="s">
        <v>10</v>
      </c>
      <c r="AC30" s="26" t="s">
        <v>13</v>
      </c>
      <c r="AD30" s="26" t="s">
        <v>173</v>
      </c>
      <c r="AE30" s="17" t="s">
        <v>17</v>
      </c>
      <c r="AF30" s="17" t="s">
        <v>17</v>
      </c>
      <c r="AG30" s="17" t="s">
        <v>17</v>
      </c>
      <c r="AH30" s="15" t="s">
        <v>13</v>
      </c>
      <c r="AL30" s="13"/>
    </row>
    <row r="31" spans="1:38" ht="15" customHeight="1" x14ac:dyDescent="0.35">
      <c r="A31" s="15">
        <v>29</v>
      </c>
      <c r="B31" s="15" t="s">
        <v>175</v>
      </c>
      <c r="C31" s="15" t="s">
        <v>17</v>
      </c>
      <c r="D31" s="15" t="s">
        <v>13</v>
      </c>
      <c r="E31" s="15" t="s">
        <v>18</v>
      </c>
      <c r="F31" s="15" t="s">
        <v>18</v>
      </c>
      <c r="G31" s="15" t="s">
        <v>176</v>
      </c>
      <c r="H31" s="15" t="s">
        <v>10</v>
      </c>
      <c r="I31" s="19" t="s">
        <v>281</v>
      </c>
      <c r="J31" s="15" t="b">
        <f>TRUE()</f>
        <v>1</v>
      </c>
      <c r="K31" s="16" t="s">
        <v>9</v>
      </c>
      <c r="L31" s="16" t="s">
        <v>9</v>
      </c>
      <c r="M31" s="19" t="s">
        <v>177</v>
      </c>
      <c r="N31" s="19" t="s">
        <v>14</v>
      </c>
      <c r="O31" s="15"/>
      <c r="P31" s="15" t="s">
        <v>14</v>
      </c>
      <c r="Q31" s="14" t="s">
        <v>13</v>
      </c>
      <c r="R31" s="15" t="s">
        <v>16</v>
      </c>
      <c r="S31" s="15" t="s">
        <v>17</v>
      </c>
      <c r="T31" s="15" t="s">
        <v>26</v>
      </c>
      <c r="U31" s="15" t="s">
        <v>14</v>
      </c>
      <c r="V31" s="15" t="s">
        <v>14</v>
      </c>
      <c r="W31" s="15" t="s">
        <v>13</v>
      </c>
      <c r="X31" s="15" t="s">
        <v>17</v>
      </c>
      <c r="Y31" s="25" t="s">
        <v>15</v>
      </c>
      <c r="Z31" s="15" t="s">
        <v>20</v>
      </c>
      <c r="AA31" s="28" t="s">
        <v>18</v>
      </c>
      <c r="AB31" s="15" t="s">
        <v>15</v>
      </c>
      <c r="AC31" s="26" t="s">
        <v>13</v>
      </c>
      <c r="AD31" s="26" t="s">
        <v>17</v>
      </c>
      <c r="AE31" s="17" t="s">
        <v>252</v>
      </c>
      <c r="AF31" s="17" t="s">
        <v>231</v>
      </c>
      <c r="AG31" s="17" t="s">
        <v>42</v>
      </c>
      <c r="AH31" s="15" t="s">
        <v>15</v>
      </c>
      <c r="AL31" s="13"/>
    </row>
    <row r="32" spans="1:38" ht="15" customHeight="1" x14ac:dyDescent="0.35">
      <c r="A32" s="15">
        <v>30</v>
      </c>
      <c r="B32" s="15" t="s">
        <v>178</v>
      </c>
      <c r="C32" s="15" t="s">
        <v>179</v>
      </c>
      <c r="D32" s="15" t="s">
        <v>13</v>
      </c>
      <c r="E32" s="15" t="s">
        <v>13</v>
      </c>
      <c r="F32" s="15" t="s">
        <v>18</v>
      </c>
      <c r="G32" s="15" t="s">
        <v>17</v>
      </c>
      <c r="H32" s="15" t="s">
        <v>180</v>
      </c>
      <c r="I32" s="19" t="s">
        <v>180</v>
      </c>
      <c r="J32" s="15" t="s">
        <v>180</v>
      </c>
      <c r="K32" s="16" t="s">
        <v>13</v>
      </c>
      <c r="L32" s="16" t="s">
        <v>10</v>
      </c>
      <c r="M32" s="19" t="s">
        <v>17</v>
      </c>
      <c r="N32" s="19" t="s">
        <v>14</v>
      </c>
      <c r="O32" s="15"/>
      <c r="P32" s="15" t="s">
        <v>14</v>
      </c>
      <c r="Q32" s="14" t="s">
        <v>18</v>
      </c>
      <c r="R32" s="15" t="s">
        <v>16</v>
      </c>
      <c r="S32" s="15" t="s">
        <v>17</v>
      </c>
      <c r="T32" s="15" t="s">
        <v>14</v>
      </c>
      <c r="U32" s="15" t="s">
        <v>14</v>
      </c>
      <c r="V32" s="15" t="s">
        <v>14</v>
      </c>
      <c r="W32" s="15" t="s">
        <v>18</v>
      </c>
      <c r="X32" s="15" t="s">
        <v>19</v>
      </c>
      <c r="Y32" s="25" t="s">
        <v>13</v>
      </c>
      <c r="Z32" s="15" t="s">
        <v>18</v>
      </c>
      <c r="AA32" s="28" t="s">
        <v>18</v>
      </c>
      <c r="AB32" s="15" t="s">
        <v>9</v>
      </c>
      <c r="AC32" s="26" t="s">
        <v>9</v>
      </c>
      <c r="AD32" s="26" t="s">
        <v>19</v>
      </c>
      <c r="AE32" s="17" t="s">
        <v>19</v>
      </c>
      <c r="AF32" s="17" t="s">
        <v>19</v>
      </c>
      <c r="AG32" s="17" t="s">
        <v>19</v>
      </c>
      <c r="AH32" s="15" t="s">
        <v>15</v>
      </c>
      <c r="AL32" s="13"/>
    </row>
    <row r="33" spans="1:38" ht="15" customHeight="1" x14ac:dyDescent="0.35">
      <c r="A33" s="15">
        <v>31</v>
      </c>
      <c r="B33" s="15" t="s">
        <v>181</v>
      </c>
      <c r="C33" s="15" t="s">
        <v>182</v>
      </c>
      <c r="D33" s="15" t="s">
        <v>10</v>
      </c>
      <c r="E33" s="15" t="s">
        <v>18</v>
      </c>
      <c r="F33" s="15" t="s">
        <v>10</v>
      </c>
      <c r="G33" s="15" t="s">
        <v>183</v>
      </c>
      <c r="H33" s="15" t="s">
        <v>108</v>
      </c>
      <c r="I33" s="19" t="s">
        <v>282</v>
      </c>
      <c r="J33" s="15" t="b">
        <f>TRUE()</f>
        <v>1</v>
      </c>
      <c r="K33" s="16" t="s">
        <v>13</v>
      </c>
      <c r="L33" s="16" t="s">
        <v>10</v>
      </c>
      <c r="M33" s="19" t="s">
        <v>130</v>
      </c>
      <c r="N33" s="19" t="s">
        <v>14</v>
      </c>
      <c r="O33" s="15"/>
      <c r="P33" s="15" t="s">
        <v>14</v>
      </c>
      <c r="Q33" s="14" t="s">
        <v>13</v>
      </c>
      <c r="R33" s="15" t="s">
        <v>184</v>
      </c>
      <c r="S33" s="15" t="s">
        <v>17</v>
      </c>
      <c r="T33" s="15" t="s">
        <v>14</v>
      </c>
      <c r="U33" s="15" t="s">
        <v>14</v>
      </c>
      <c r="V33" s="15" t="s">
        <v>26</v>
      </c>
      <c r="W33" s="15" t="s">
        <v>18</v>
      </c>
      <c r="X33" s="15" t="s">
        <v>17</v>
      </c>
      <c r="Y33" s="25" t="s">
        <v>15</v>
      </c>
      <c r="Z33" s="15" t="s">
        <v>20</v>
      </c>
      <c r="AA33" s="28" t="s">
        <v>15</v>
      </c>
      <c r="AB33" s="15" t="s">
        <v>13</v>
      </c>
      <c r="AC33" s="26" t="s">
        <v>18</v>
      </c>
      <c r="AD33" s="26" t="s">
        <v>17</v>
      </c>
      <c r="AE33" s="17" t="s">
        <v>253</v>
      </c>
      <c r="AF33" s="17" t="s">
        <v>17</v>
      </c>
      <c r="AG33" s="17" t="s">
        <v>17</v>
      </c>
      <c r="AH33" s="15" t="s">
        <v>20</v>
      </c>
      <c r="AL33" s="13"/>
    </row>
    <row r="34" spans="1:38" ht="15" customHeight="1" x14ac:dyDescent="0.35">
      <c r="A34" s="15">
        <v>32</v>
      </c>
      <c r="B34" s="15" t="s">
        <v>185</v>
      </c>
      <c r="C34" s="15" t="s">
        <v>186</v>
      </c>
      <c r="D34" s="15" t="s">
        <v>13</v>
      </c>
      <c r="E34" s="15" t="s">
        <v>13</v>
      </c>
      <c r="F34" s="15" t="s">
        <v>18</v>
      </c>
      <c r="G34" s="15" t="s">
        <v>187</v>
      </c>
      <c r="H34" s="15" t="s">
        <v>10</v>
      </c>
      <c r="I34" s="19" t="s">
        <v>283</v>
      </c>
      <c r="J34" s="15" t="b">
        <f>TRUE()</f>
        <v>1</v>
      </c>
      <c r="K34" s="16" t="s">
        <v>10</v>
      </c>
      <c r="L34" s="16" t="s">
        <v>13</v>
      </c>
      <c r="M34" s="19" t="s">
        <v>188</v>
      </c>
      <c r="N34" s="19" t="s">
        <v>14</v>
      </c>
      <c r="O34" s="15"/>
      <c r="P34" s="15" t="s">
        <v>14</v>
      </c>
      <c r="Q34" s="14" t="s">
        <v>9</v>
      </c>
      <c r="R34" s="15" t="s">
        <v>16</v>
      </c>
      <c r="S34" s="15" t="s">
        <v>19</v>
      </c>
      <c r="T34" s="15" t="s">
        <v>26</v>
      </c>
      <c r="U34" s="15" t="s">
        <v>26</v>
      </c>
      <c r="V34" s="15" t="s">
        <v>26</v>
      </c>
      <c r="W34" s="15" t="s">
        <v>10</v>
      </c>
      <c r="X34" s="15" t="s">
        <v>19</v>
      </c>
      <c r="Y34" s="25" t="s">
        <v>18</v>
      </c>
      <c r="Z34" s="15" t="s">
        <v>9</v>
      </c>
      <c r="AA34" s="28" t="s">
        <v>9</v>
      </c>
      <c r="AB34" s="15" t="s">
        <v>9</v>
      </c>
      <c r="AC34" s="26" t="s">
        <v>9</v>
      </c>
      <c r="AD34" s="26" t="s">
        <v>19</v>
      </c>
      <c r="AE34" s="17" t="s">
        <v>254</v>
      </c>
      <c r="AF34" s="17" t="s">
        <v>232</v>
      </c>
      <c r="AG34" s="17" t="s">
        <v>233</v>
      </c>
      <c r="AH34" s="15" t="s">
        <v>10</v>
      </c>
      <c r="AL34" s="13"/>
    </row>
    <row r="35" spans="1:38" ht="15" customHeight="1" x14ac:dyDescent="0.35">
      <c r="A35" s="15">
        <v>33</v>
      </c>
      <c r="B35" s="15" t="s">
        <v>189</v>
      </c>
      <c r="C35" s="15" t="s">
        <v>190</v>
      </c>
      <c r="D35" s="15" t="s">
        <v>10</v>
      </c>
      <c r="E35" s="15" t="s">
        <v>13</v>
      </c>
      <c r="F35" s="15" t="s">
        <v>10</v>
      </c>
      <c r="G35" s="15" t="s">
        <v>191</v>
      </c>
      <c r="H35" s="15" t="s">
        <v>192</v>
      </c>
      <c r="I35" s="19" t="s">
        <v>284</v>
      </c>
      <c r="J35" s="15" t="b">
        <f>TRUE()</f>
        <v>1</v>
      </c>
      <c r="K35" s="16" t="s">
        <v>10</v>
      </c>
      <c r="L35" s="16" t="s">
        <v>13</v>
      </c>
      <c r="M35" s="19" t="s">
        <v>196</v>
      </c>
      <c r="N35" s="19" t="s">
        <v>14</v>
      </c>
      <c r="O35" s="15"/>
      <c r="P35" s="15" t="s">
        <v>14</v>
      </c>
      <c r="Q35" s="14" t="s">
        <v>15</v>
      </c>
      <c r="R35" s="15" t="s">
        <v>193</v>
      </c>
      <c r="S35" s="15" t="s">
        <v>194</v>
      </c>
      <c r="T35" s="15" t="s">
        <v>26</v>
      </c>
      <c r="U35" s="15" t="s">
        <v>14</v>
      </c>
      <c r="V35" s="15" t="s">
        <v>14</v>
      </c>
      <c r="W35" s="15" t="s">
        <v>10</v>
      </c>
      <c r="X35" s="15" t="s">
        <v>195</v>
      </c>
      <c r="Y35" s="25" t="s">
        <v>18</v>
      </c>
      <c r="Z35" s="15" t="s">
        <v>20</v>
      </c>
      <c r="AA35" s="28" t="s">
        <v>9</v>
      </c>
      <c r="AB35" s="15" t="s">
        <v>14</v>
      </c>
      <c r="AC35" s="26" t="s">
        <v>18</v>
      </c>
      <c r="AD35" s="26">
        <v>0</v>
      </c>
      <c r="AE35" s="15" t="s">
        <v>293</v>
      </c>
      <c r="AF35" s="17" t="s">
        <v>234</v>
      </c>
      <c r="AG35" s="17" t="s">
        <v>255</v>
      </c>
      <c r="AH35" s="15" t="s">
        <v>10</v>
      </c>
    </row>
    <row r="36" spans="1:38" ht="15" customHeight="1" x14ac:dyDescent="0.35">
      <c r="A36" s="15">
        <v>34</v>
      </c>
      <c r="B36" s="15" t="s">
        <v>197</v>
      </c>
      <c r="C36" s="15" t="s">
        <v>198</v>
      </c>
      <c r="D36" s="15" t="s">
        <v>10</v>
      </c>
      <c r="E36" s="15" t="s">
        <v>10</v>
      </c>
      <c r="F36" s="15" t="s">
        <v>18</v>
      </c>
      <c r="G36" s="15" t="s">
        <v>199</v>
      </c>
      <c r="H36" s="15" t="s">
        <v>200</v>
      </c>
      <c r="I36" s="19" t="s">
        <v>285</v>
      </c>
      <c r="J36" s="15" t="b">
        <f>TRUE()</f>
        <v>1</v>
      </c>
      <c r="K36" s="16" t="s">
        <v>10</v>
      </c>
      <c r="L36" s="16" t="s">
        <v>13</v>
      </c>
      <c r="M36" s="19" t="s">
        <v>204</v>
      </c>
      <c r="N36" s="19" t="s">
        <v>14</v>
      </c>
      <c r="O36" s="15"/>
      <c r="P36" s="15" t="s">
        <v>14</v>
      </c>
      <c r="Q36" s="14" t="s">
        <v>13</v>
      </c>
      <c r="R36" s="15" t="s">
        <v>201</v>
      </c>
      <c r="S36" s="15" t="s">
        <v>202</v>
      </c>
      <c r="T36" s="15" t="s">
        <v>14</v>
      </c>
      <c r="U36" s="15" t="s">
        <v>14</v>
      </c>
      <c r="V36" s="15" t="s">
        <v>14</v>
      </c>
      <c r="W36" s="15" t="s">
        <v>18</v>
      </c>
      <c r="X36" s="15" t="s">
        <v>203</v>
      </c>
      <c r="Y36" s="25" t="s">
        <v>18</v>
      </c>
      <c r="Z36" s="15" t="s">
        <v>20</v>
      </c>
      <c r="AA36" s="28" t="s">
        <v>18</v>
      </c>
      <c r="AB36" s="15" t="s">
        <v>14</v>
      </c>
      <c r="AC36" s="26" t="s">
        <v>9</v>
      </c>
      <c r="AD36" s="26">
        <v>0</v>
      </c>
      <c r="AE36" s="15" t="s">
        <v>9</v>
      </c>
      <c r="AF36" s="17" t="s">
        <v>235</v>
      </c>
      <c r="AG36" s="17" t="s">
        <v>256</v>
      </c>
      <c r="AH36" s="15" t="s">
        <v>13</v>
      </c>
    </row>
  </sheetData>
  <mergeCells count="1">
    <mergeCell ref="O3:O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Scoring</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cp:revision>
  <dcterms:created xsi:type="dcterms:W3CDTF">2026-08-17T16:59:48Z</dcterms:created>
  <dcterms:modified xsi:type="dcterms:W3CDTF">2026-09-18T12:35:34Z</dcterms:modified>
  <dc:language/>
</cp:coreProperties>
</file>